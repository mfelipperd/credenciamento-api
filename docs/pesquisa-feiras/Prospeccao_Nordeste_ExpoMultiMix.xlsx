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ospects Nordeste" sheetId="2" state="visible" r:id="rId2"/>
    <sheet name="Clientes nas feiras NE" sheetId="3" state="visible" r:id="rId3"/>
    <sheet name="Calendário Nordeste" sheetId="4" state="visible" r:id="rId4"/>
  </sheets>
  <definedNames>
    <definedName name="_xlnm._FilterDatabase" localSheetId="1" hidden="1">'Prospects Nordeste'!$A$1:$O$107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0B6E5F"/>
      <sz val="14"/>
    </font>
    <font>
      <name val="Arial"/>
      <i val="1"/>
      <color rgb="005E6F6A"/>
      <sz val="9"/>
    </font>
    <font>
      <name val="Arial"/>
      <color rgb="003A4A46"/>
      <sz val="10"/>
    </font>
  </fonts>
  <fills count="5">
    <fill>
      <patternFill/>
    </fill>
    <fill>
      <patternFill patternType="gray125"/>
    </fill>
    <fill>
      <patternFill patternType="solid">
        <fgColor rgb="000B6E5F"/>
      </patternFill>
    </fill>
    <fill>
      <patternFill patternType="solid">
        <fgColor rgb="00FFF7D6"/>
      </patternFill>
    </fill>
    <fill>
      <patternFill patternType="solid">
        <fgColor rgb="00E2F1EE"/>
      </patternFill>
    </fill>
  </fills>
  <borders count="2">
    <border>
      <left/>
      <right/>
      <top/>
      <bottom/>
      <diagonal/>
    </border>
    <border>
      <bottom style="thin">
        <color rgb="00DCE3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applyAlignment="1" pivotButton="0" quotePrefix="0" xfId="0">
      <alignment/>
    </xf>
    <xf numFmtId="0" fontId="6" fillId="0" borderId="0" applyAlignment="1" pivotButton="0" quotePrefix="0" xfId="0">
      <alignment/>
    </xf>
    <xf numFmtId="0" fontId="1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B4462B"/>
      </font>
      <fill>
        <patternFill patternType="solid">
          <fgColor rgb="00F8E6E0"/>
        </patternFill>
      </fill>
    </dxf>
    <dxf>
      <font>
        <name val="Arial"/>
        <color rgb="00B45309"/>
      </font>
      <fill>
        <patternFill patternType="solid">
          <fgColor rgb="00FDF0E1"/>
        </patternFill>
      </fill>
    </dxf>
    <dxf>
      <fill>
        <patternFill patternType="solid">
          <fgColor rgb="00E2F1EE"/>
        </patternFill>
      </fill>
    </dxf>
    <dxf>
      <font>
        <name val="Arial"/>
        <b val="1"/>
        <color rgb="001F5FA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Prospecção Nordeste — Expo MultiMix 2027</t>
        </is>
      </c>
    </row>
    <row r="2">
      <c r="A2" s="2" t="inlineStr">
        <is>
          <t>Empresas que expõem em feiras do Nordeste e não expuseram na Expo MultiMix em 2026. Levantamento de 22/09/2026.</t>
        </is>
      </c>
    </row>
    <row r="4">
      <c r="A4" s="3" t="inlineStr">
        <is>
          <t>Prospects na lista</t>
        </is>
      </c>
      <c r="B4" s="4">
        <f>COUNTA('Prospects Nordeste'!A2:A107)</f>
        <v/>
      </c>
    </row>
    <row r="5">
      <c r="A5" s="5" t="inlineStr">
        <is>
          <t xml:space="preserve">   Nunca expuseram na Expo MultiMix</t>
        </is>
      </c>
      <c r="B5" s="4">
        <f>COUNTIF('Prospects Nordeste'!E2:E107,"Nunca*")</f>
        <v/>
      </c>
    </row>
    <row r="6">
      <c r="A6" s="5" t="inlineStr">
        <is>
          <t xml:space="preserve">   Ex-clientes que não voltaram em 2026</t>
        </is>
      </c>
      <c r="B6" s="4">
        <f>COUNTIF('Prospects Nordeste'!E2:E107,"Ex*")</f>
        <v/>
      </c>
    </row>
    <row r="7">
      <c r="A7" s="3" t="inlineStr">
        <is>
          <t>Prioridade Alta</t>
        </is>
      </c>
      <c r="B7" s="4">
        <f>COUNTIF('Prospects Nordeste'!D2:D107,"Alta")</f>
        <v/>
      </c>
    </row>
    <row r="8">
      <c r="A8" s="3" t="inlineStr">
        <is>
          <t>Prioridade Média</t>
        </is>
      </c>
      <c r="B8" s="4">
        <f>COUNTIF('Prospects Nordeste'!D2:D107,"Média")</f>
        <v/>
      </c>
    </row>
    <row r="9">
      <c r="A9" s="3" t="inlineStr">
        <is>
          <t>Prioridade Baixa</t>
        </is>
      </c>
      <c r="B9" s="4">
        <f>COUNTIF('Prospects Nordeste'!D2:D107,"Baixa")</f>
        <v/>
      </c>
    </row>
    <row r="10">
      <c r="A10" s="3" t="inlineStr">
        <is>
          <t>Com site ou telefone identificado</t>
        </is>
      </c>
      <c r="B10" s="4">
        <f>SUMPRODUCT(--((LEN('Prospects Nordeste'!H2:H107)+LEN('Prospects Nordeste'!J2:J107))&gt;0))</f>
        <v/>
      </c>
    </row>
    <row r="11">
      <c r="A11" s="3" t="inlineStr"/>
    </row>
    <row r="12">
      <c r="A12" s="3" t="inlineStr">
        <is>
          <t>Andamento</t>
        </is>
      </c>
    </row>
    <row r="13">
      <c r="A13" s="5" t="inlineStr">
        <is>
          <t xml:space="preserve">   A contatar</t>
        </is>
      </c>
      <c r="B13" s="4">
        <f>COUNTIF('Prospects Nordeste'!M2:M107,"A contatar")</f>
        <v/>
      </c>
    </row>
    <row r="14">
      <c r="A14" s="5" t="inlineStr">
        <is>
          <t xml:space="preserve">   Contatado</t>
        </is>
      </c>
      <c r="B14" s="4">
        <f>COUNTIF('Prospects Nordeste'!M2:M107,"Contatado")</f>
        <v/>
      </c>
    </row>
    <row r="15">
      <c r="A15" s="5" t="inlineStr">
        <is>
          <t xml:space="preserve">   Interessado</t>
        </is>
      </c>
      <c r="B15" s="4">
        <f>COUNTIF('Prospects Nordeste'!M2:M107,"Interessado")</f>
        <v/>
      </c>
    </row>
    <row r="16">
      <c r="A16" s="5" t="inlineStr">
        <is>
          <t xml:space="preserve">   Proposta enviada</t>
        </is>
      </c>
      <c r="B16" s="4">
        <f>COUNTIF('Prospects Nordeste'!M2:M107,"Proposta enviada")</f>
        <v/>
      </c>
    </row>
    <row r="17">
      <c r="A17" s="5" t="inlineStr">
        <is>
          <t xml:space="preserve">   Fechado</t>
        </is>
      </c>
      <c r="B17" s="4">
        <f>COUNTIF('Prospects Nordeste'!M2:M107,"Fechado")</f>
        <v/>
      </c>
    </row>
    <row r="18">
      <c r="A18" s="5" t="inlineStr">
        <is>
          <t xml:space="preserve">   Sem interesse</t>
        </is>
      </c>
      <c r="B18" s="4">
        <f>COUNTIF('Prospects Nordeste'!M2:M107,"Sem interesse")</f>
        <v/>
      </c>
    </row>
    <row r="19">
      <c r="A19" s="3" t="inlineStr"/>
    </row>
    <row r="20">
      <c r="A20" s="3" t="inlineStr">
        <is>
          <t>Clientes ativos que também vão às feiras do Nordeste</t>
        </is>
      </c>
      <c r="B20" s="4">
        <f>COUNTA('Clientes nas feiras NE'!A5:A34)</f>
        <v/>
      </c>
    </row>
    <row r="22">
      <c r="A22" s="6" t="inlineStr">
        <is>
          <t>Como usar</t>
        </is>
      </c>
    </row>
    <row r="23">
      <c r="A23" s="7" t="inlineStr">
        <is>
          <t>• Aba "Prospects Nordeste": preencha as colunas amarelas (Responsável, Status, Data, Próximo passo). O Status tem lista suspensa; o Resumo se atualiza sozinho.</t>
        </is>
      </c>
    </row>
    <row r="24">
      <c r="A24" s="7" t="inlineStr">
        <is>
          <t>• Prioridade (fórmula): Alta = ex-cliente ou presente em 3+ edições no Nordeste; Média = 2 edições; Baixa = 1 edição.</t>
        </is>
      </c>
    </row>
    <row r="25">
      <c r="A25" s="7" t="inlineStr">
        <is>
          <t>• Aba "Clientes nas feiras NE": clientes atuais que também expõem na Showutil/Showbrinq — foco em fidelização.</t>
        </is>
      </c>
    </row>
    <row r="26">
      <c r="A26" s="7" t="inlineStr"/>
    </row>
    <row r="27">
      <c r="A27" s="6" t="inlineStr">
        <is>
          <t>Fontes e limites</t>
        </is>
      </c>
    </row>
    <row r="28">
      <c r="A28" s="7" t="inlineStr">
        <is>
          <t>• Showutil: logos da seção "Expositores da última edição" de cada edição 2026 (showutil.com.br). Nomes lidos do nome do arquivo de cada logo; ~15 logos sem nome no arquivo não puderam ser identificados.</t>
        </is>
      </c>
    </row>
    <row r="29">
      <c r="A29" s="7" t="inlineStr">
        <is>
          <t>• Showbrinq: não publica lista de expositores; empresas incluídas só com post/notícia que comprove a participação.</t>
        </is>
      </c>
    </row>
    <row r="30">
      <c r="A30" s="7" t="inlineStr">
        <is>
          <t>• Base Expo MultiMix: receitas por cliente nas edições Manaus/Belém 2025 e 2026 (sistema de gestão).</t>
        </is>
      </c>
    </row>
    <row r="31">
      <c r="A31" s="7" t="inlineStr">
        <is>
          <t>• Segmento, sede, site e telefone: pesquisa web automática; campos em branco = não identificado com segurança. Conferir antes do contato.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1" customWidth="1" min="3" max="3"/>
    <col width="11" customWidth="1" min="4" max="4"/>
    <col width="30" customWidth="1" min="5" max="5"/>
    <col width="38" customWidth="1" min="6" max="6"/>
    <col width="20" customWidth="1" min="7" max="7"/>
    <col width="28" customWidth="1" min="8" max="8"/>
    <col width="26" customWidth="1" min="9" max="9"/>
    <col width="26" customWidth="1" min="10" max="10"/>
    <col width="30" customWidth="1" min="11" max="11"/>
    <col width="16" customWidth="1" min="12" max="12"/>
    <col width="18" customWidth="1" min="13" max="13"/>
    <col width="14" customWidth="1" min="14" max="14"/>
    <col width="40" customWidth="1" min="15" max="15"/>
  </cols>
  <sheetData>
    <row r="1" ht="30" customHeight="1">
      <c r="A1" s="8" t="inlineStr">
        <is>
          <t>Empresa</t>
        </is>
      </c>
      <c r="B1" s="8" t="inlineStr">
        <is>
          <t>Feiras no Nordeste (2026)</t>
        </is>
      </c>
      <c r="C1" s="8" t="inlineStr">
        <is>
          <t>Nº de edições</t>
        </is>
      </c>
      <c r="D1" s="8" t="inlineStr">
        <is>
          <t>Prioridade</t>
        </is>
      </c>
      <c r="E1" s="8" t="inlineStr">
        <is>
          <t>Situação na Expo MultiMix</t>
        </is>
      </c>
      <c r="F1" s="8" t="inlineStr">
        <is>
          <t>Segmento</t>
        </is>
      </c>
      <c r="G1" s="8" t="inlineStr">
        <is>
          <t>Sede</t>
        </is>
      </c>
      <c r="H1" s="8" t="inlineStr">
        <is>
          <t>Site</t>
        </is>
      </c>
      <c r="I1" s="8" t="inlineStr">
        <is>
          <t>Instagram</t>
        </is>
      </c>
      <c r="J1" s="8" t="inlineStr">
        <is>
          <t>Telefone / WhatsApp</t>
        </is>
      </c>
      <c r="K1" s="8" t="inlineStr">
        <is>
          <t>Fonte da participação</t>
        </is>
      </c>
      <c r="L1" s="8" t="inlineStr">
        <is>
          <t>Responsável</t>
        </is>
      </c>
      <c r="M1" s="8" t="inlineStr">
        <is>
          <t>Status do contato</t>
        </is>
      </c>
      <c r="N1" s="8" t="inlineStr">
        <is>
          <t>Data do contato</t>
        </is>
      </c>
      <c r="O1" s="8" t="inlineStr">
        <is>
          <t>Próximo passo / observações</t>
        </is>
      </c>
    </row>
    <row r="2">
      <c r="A2" s="9" t="inlineStr">
        <is>
          <t>Matrix</t>
        </is>
      </c>
      <c r="B2" s="10" t="inlineStr">
        <is>
          <t>Caruaru/PE mar-2026; Caruaru/PE out-2026</t>
        </is>
      </c>
      <c r="C2" s="11" t="n">
        <v>2</v>
      </c>
      <c r="D2" s="11">
        <f>IF(LEFT(E2,2)="Ex","Alta",IF(C2&gt;=3,"Alta",IF(C2=2,"Média","Baixa")))</f>
        <v/>
      </c>
      <c r="E2" s="10" t="inlineStr">
        <is>
          <t>Ex-cliente (última: 2025 Belém) — não voltou em 2026</t>
        </is>
      </c>
      <c r="F2" s="10" t="inlineStr"/>
      <c r="G2" s="10" t="inlineStr"/>
      <c r="H2" s="10" t="inlineStr"/>
      <c r="I2" s="10" t="inlineStr"/>
      <c r="J2" s="10" t="inlineStr"/>
      <c r="K2" s="10" t="inlineStr">
        <is>
          <t>showutil.com.br (logos "Expositores da última edição")</t>
        </is>
      </c>
      <c r="L2" s="12" t="inlineStr"/>
      <c r="M2" s="12" t="inlineStr">
        <is>
          <t>A contatar</t>
        </is>
      </c>
      <c r="N2" s="13" t="n"/>
      <c r="O2" s="12" t="inlineStr"/>
    </row>
    <row r="3">
      <c r="A3" s="9" t="inlineStr">
        <is>
          <t>Mel Toys / Beija-Flor</t>
        </is>
      </c>
      <c r="B3" s="10" t="inlineStr">
        <is>
          <t>Caruaru/PE mar-2026; Caruaru/PE out-2026</t>
        </is>
      </c>
      <c r="C3" s="11" t="n">
        <v>2</v>
      </c>
      <c r="D3" s="11">
        <f>IF(LEFT(E3,2)="Ex","Alta",IF(C3&gt;=3,"Alta",IF(C3=2,"Média","Baixa")))</f>
        <v/>
      </c>
      <c r="E3" s="10" t="inlineStr">
        <is>
          <t>Ex-cliente (última: 2025 Belém) — não voltou em 2026</t>
        </is>
      </c>
      <c r="F3" s="10" t="inlineStr"/>
      <c r="G3" s="10" t="inlineStr"/>
      <c r="H3" s="10" t="inlineStr"/>
      <c r="I3" s="10" t="inlineStr"/>
      <c r="J3" s="10" t="inlineStr"/>
      <c r="K3" s="10" t="inlineStr">
        <is>
          <t>showutil.com.br (logos "Expositores da última edição")</t>
        </is>
      </c>
      <c r="L3" s="12" t="inlineStr"/>
      <c r="M3" s="12" t="inlineStr">
        <is>
          <t>A contatar</t>
        </is>
      </c>
      <c r="N3" s="13" t="n"/>
      <c r="O3" s="12" t="inlineStr"/>
    </row>
    <row r="4">
      <c r="A4" s="9" t="inlineStr">
        <is>
          <t>Barufe Incensos</t>
        </is>
      </c>
      <c r="B4" s="10" t="inlineStr">
        <is>
          <t>Caruaru/PE mar-2026</t>
        </is>
      </c>
      <c r="C4" s="11" t="n">
        <v>1</v>
      </c>
      <c r="D4" s="11">
        <f>IF(LEFT(E4,2)="Ex","Alta",IF(C4&gt;=3,"Alta",IF(C4=2,"Média","Baixa")))</f>
        <v/>
      </c>
      <c r="E4" s="10" t="inlineStr">
        <is>
          <t>Ex-cliente (última: 2025 Belém) — não voltou em 2026</t>
        </is>
      </c>
      <c r="F4" s="10" t="inlineStr"/>
      <c r="G4" s="10" t="inlineStr"/>
      <c r="H4" s="10" t="inlineStr"/>
      <c r="I4" s="10" t="inlineStr"/>
      <c r="J4" s="10" t="inlineStr"/>
      <c r="K4" s="10" t="inlineStr">
        <is>
          <t>showutil.com.br (logos "Expositores da última edição")</t>
        </is>
      </c>
      <c r="L4" s="12" t="inlineStr"/>
      <c r="M4" s="12" t="inlineStr">
        <is>
          <t>A contatar</t>
        </is>
      </c>
      <c r="N4" s="13" t="n"/>
      <c r="O4" s="12" t="inlineStr"/>
    </row>
    <row r="5">
      <c r="A5" s="9" t="inlineStr">
        <is>
          <t>Alumínio Vieira</t>
        </is>
      </c>
      <c r="B5" s="10" t="inlineStr">
        <is>
          <t>Caruaru/PE mar-2026; Caruaru/PE out-2026; Feira de Santana/BA mar-2026; Feira de Santana/BA out-2026; São Luís/MA mar-2026</t>
        </is>
      </c>
      <c r="C5" s="11" t="n">
        <v>5</v>
      </c>
      <c r="D5" s="11">
        <f>IF(LEFT(E5,2)="Ex","Alta",IF(C5&gt;=3,"Alta",IF(C5=2,"Média","Baixa")))</f>
        <v/>
      </c>
      <c r="E5" s="10" t="inlineStr">
        <is>
          <t>Nunca expôs</t>
        </is>
      </c>
      <c r="F5" s="10" t="inlineStr"/>
      <c r="G5" s="10" t="inlineStr"/>
      <c r="H5" s="10" t="inlineStr"/>
      <c r="I5" s="10" t="inlineStr"/>
      <c r="J5" s="10" t="inlineStr"/>
      <c r="K5" s="10" t="inlineStr">
        <is>
          <t>showutil.com.br (logos "Expositores da última edição")</t>
        </is>
      </c>
      <c r="L5" s="12" t="inlineStr"/>
      <c r="M5" s="12" t="inlineStr">
        <is>
          <t>A contatar</t>
        </is>
      </c>
      <c r="N5" s="13" t="n"/>
      <c r="O5" s="12" t="inlineStr"/>
    </row>
    <row r="6">
      <c r="A6" s="9" t="inlineStr">
        <is>
          <t>Belareal</t>
        </is>
      </c>
      <c r="B6" s="10" t="inlineStr">
        <is>
          <t>Caruaru/PE mar-2026; Caruaru/PE out-2026; Feira de Santana/BA mar-2026; Feira de Santana/BA out-2026; São Luís/MA mar-2026</t>
        </is>
      </c>
      <c r="C6" s="11" t="n">
        <v>5</v>
      </c>
      <c r="D6" s="11">
        <f>IF(LEFT(E6,2)="Ex","Alta",IF(C6&gt;=3,"Alta",IF(C6=2,"Média","Baixa")))</f>
        <v/>
      </c>
      <c r="E6" s="10" t="inlineStr">
        <is>
          <t>Nunca expôs</t>
        </is>
      </c>
      <c r="F6" s="10" t="inlineStr"/>
      <c r="G6" s="10" t="inlineStr"/>
      <c r="H6" s="10" t="inlineStr"/>
      <c r="I6" s="10" t="inlineStr"/>
      <c r="J6" s="10" t="inlineStr"/>
      <c r="K6" s="10" t="inlineStr">
        <is>
          <t>showutil.com.br (logos "Expositores da última edição")</t>
        </is>
      </c>
      <c r="L6" s="12" t="inlineStr"/>
      <c r="M6" s="12" t="inlineStr">
        <is>
          <t>A contatar</t>
        </is>
      </c>
      <c r="N6" s="13" t="n"/>
      <c r="O6" s="12" t="inlineStr"/>
    </row>
    <row r="7">
      <c r="A7" s="9" t="inlineStr">
        <is>
          <t>Distribuidores Vieira</t>
        </is>
      </c>
      <c r="B7" s="10" t="inlineStr">
        <is>
          <t>Caruaru/PE mar-2026; Caruaru/PE out-2026; Feira de Santana/BA mar-2026; Feira de Santana/BA out-2026; São Luís/MA mar-2026</t>
        </is>
      </c>
      <c r="C7" s="11" t="n">
        <v>5</v>
      </c>
      <c r="D7" s="11">
        <f>IF(LEFT(E7,2)="Ex","Alta",IF(C7&gt;=3,"Alta",IF(C7=2,"Média","Baixa")))</f>
        <v/>
      </c>
      <c r="E7" s="10" t="inlineStr">
        <is>
          <t>Nunca expôs</t>
        </is>
      </c>
      <c r="F7" s="10" t="inlineStr"/>
      <c r="G7" s="10" t="inlineStr"/>
      <c r="H7" s="10" t="inlineStr"/>
      <c r="I7" s="10" t="inlineStr"/>
      <c r="J7" s="10" t="inlineStr"/>
      <c r="K7" s="10" t="inlineStr">
        <is>
          <t>showutil.com.br (logos "Expositores da última edição")</t>
        </is>
      </c>
      <c r="L7" s="12" t="inlineStr"/>
      <c r="M7" s="12" t="inlineStr">
        <is>
          <t>A contatar</t>
        </is>
      </c>
      <c r="N7" s="13" t="n"/>
      <c r="O7" s="12" t="inlineStr"/>
    </row>
    <row r="8">
      <c r="A8" s="9" t="inlineStr">
        <is>
          <t>Disbal</t>
        </is>
      </c>
      <c r="B8" s="10" t="inlineStr">
        <is>
          <t>Caruaru/PE mar-2026; Caruaru/PE out-2026; Feira de Santana/BA mar-2026; São Luís/MA mar-2026</t>
        </is>
      </c>
      <c r="C8" s="11" t="n">
        <v>4</v>
      </c>
      <c r="D8" s="11">
        <f>IF(LEFT(E8,2)="Ex","Alta",IF(C8&gt;=3,"Alta",IF(C8=2,"Média","Baixa")))</f>
        <v/>
      </c>
      <c r="E8" s="10" t="inlineStr">
        <is>
          <t>Nunca expôs</t>
        </is>
      </c>
      <c r="F8" s="10" t="inlineStr">
        <is>
          <t>Distribuidor/atacado de UD (vidros, térmicos, plásticos, brinquedos, decoração)</t>
        </is>
      </c>
      <c r="G8" s="10" t="inlineStr">
        <is>
          <t>Feira de Santana/BA</t>
        </is>
      </c>
      <c r="H8" s="10" t="inlineStr">
        <is>
          <t>https://disbal.com.br</t>
        </is>
      </c>
      <c r="I8" s="10" t="inlineStr"/>
      <c r="J8" s="10" t="inlineStr">
        <is>
          <t>(75) 3322-3838 / (75) 3021-7400</t>
        </is>
      </c>
      <c r="K8" s="10" t="inlineStr">
        <is>
          <t>showutil.com.br (logos "Expositores da última edição")</t>
        </is>
      </c>
      <c r="L8" s="12" t="inlineStr"/>
      <c r="M8" s="12" t="inlineStr">
        <is>
          <t>A contatar</t>
        </is>
      </c>
      <c r="N8" s="13" t="n"/>
      <c r="O8" s="12" t="inlineStr"/>
    </row>
    <row r="9">
      <c r="A9" s="9" t="inlineStr">
        <is>
          <t>Jxpbrink</t>
        </is>
      </c>
      <c r="B9" s="10" t="inlineStr">
        <is>
          <t>Showbrinq Caruaru/PE jul-2026; Showbrinq Feira de Santana/BA jul-2026; Showbrinq Fortaleza/CE jul-2026; Showbrinq São Luís/MA jul-2026</t>
        </is>
      </c>
      <c r="C9" s="11" t="n">
        <v>4</v>
      </c>
      <c r="D9" s="11">
        <f>IF(LEFT(E9,2)="Ex","Alta",IF(C9&gt;=3,"Alta",IF(C9=2,"Média","Baixa")))</f>
        <v/>
      </c>
      <c r="E9" s="10" t="inlineStr">
        <is>
          <t>Nunca expôs</t>
        </is>
      </c>
      <c r="F9" s="10" t="inlineStr">
        <is>
          <t>Brinquedos</t>
        </is>
      </c>
      <c r="G9" s="10" t="inlineStr"/>
      <c r="H9" s="10" t="inlineStr"/>
      <c r="I9" s="10" t="inlineStr"/>
      <c r="J9" s="10" t="inlineStr"/>
      <c r="K9" s="10" t="inlineStr">
        <is>
          <t>https://www.instagram.com/reel/DaNSMOoBy7N/ | https://www.instagram.com/reel/DacvDDOhYWY/ | https://www.facebook.com/61565565620720/videos/1856783761982079/ | https://www.instagram.com/p/DaAsXtltUcE/</t>
        </is>
      </c>
      <c r="L9" s="12" t="inlineStr"/>
      <c r="M9" s="12" t="inlineStr">
        <is>
          <t>A contatar</t>
        </is>
      </c>
      <c r="N9" s="13" t="n"/>
      <c r="O9" s="12" t="inlineStr"/>
    </row>
    <row r="10">
      <c r="A10" s="9" t="inlineStr">
        <is>
          <t>Lummar Brinquedos</t>
        </is>
      </c>
      <c r="B10" s="10" t="inlineStr">
        <is>
          <t>Caruaru/PE mar-2026; Caruaru/PE out-2026; Feira de Santana/BA mar-2026; São Luís/MA mar-2026</t>
        </is>
      </c>
      <c r="C10" s="11" t="n">
        <v>4</v>
      </c>
      <c r="D10" s="11">
        <f>IF(LEFT(E10,2)="Ex","Alta",IF(C10&gt;=3,"Alta",IF(C10=2,"Média","Baixa")))</f>
        <v/>
      </c>
      <c r="E10" s="10" t="inlineStr">
        <is>
          <t>Nunca expôs</t>
        </is>
      </c>
      <c r="F10" s="10" t="inlineStr"/>
      <c r="G10" s="10" t="inlineStr"/>
      <c r="H10" s="10" t="inlineStr"/>
      <c r="I10" s="10" t="inlineStr"/>
      <c r="J10" s="10" t="inlineStr"/>
      <c r="K10" s="10" t="inlineStr">
        <is>
          <t>showutil.com.br (logos "Expositores da última edição")</t>
        </is>
      </c>
      <c r="L10" s="12" t="inlineStr"/>
      <c r="M10" s="12" t="inlineStr">
        <is>
          <t>A contatar</t>
        </is>
      </c>
      <c r="N10" s="13" t="n"/>
      <c r="O10" s="12" t="inlineStr"/>
    </row>
    <row r="11">
      <c r="A11" s="9" t="inlineStr">
        <is>
          <t>Lummar Plásticos</t>
        </is>
      </c>
      <c r="B11" s="10" t="inlineStr">
        <is>
          <t>Caruaru/PE mar-2026; Caruaru/PE out-2026; Feira de Santana/BA mar-2026; São Luís/MA mar-2026</t>
        </is>
      </c>
      <c r="C11" s="11" t="n">
        <v>4</v>
      </c>
      <c r="D11" s="11">
        <f>IF(LEFT(E11,2)="Ex","Alta",IF(C11&gt;=3,"Alta",IF(C11=2,"Média","Baixa")))</f>
        <v/>
      </c>
      <c r="E11" s="10" t="inlineStr">
        <is>
          <t>Nunca expôs</t>
        </is>
      </c>
      <c r="F11" s="10" t="inlineStr"/>
      <c r="G11" s="10" t="inlineStr"/>
      <c r="H11" s="10" t="inlineStr"/>
      <c r="I11" s="10" t="inlineStr"/>
      <c r="J11" s="10" t="inlineStr"/>
      <c r="K11" s="10" t="inlineStr">
        <is>
          <t>showutil.com.br (logos "Expositores da última edição")</t>
        </is>
      </c>
      <c r="L11" s="12" t="inlineStr"/>
      <c r="M11" s="12" t="inlineStr">
        <is>
          <t>A contatar</t>
        </is>
      </c>
      <c r="N11" s="13" t="n"/>
      <c r="O11" s="12" t="inlineStr"/>
    </row>
    <row r="12">
      <c r="A12" s="9" t="inlineStr">
        <is>
          <t>Mtoys</t>
        </is>
      </c>
      <c r="B12" s="10" t="inlineStr">
        <is>
          <t>Caruaru/PE mar-2026; Caruaru/PE out-2026; Feira de Santana/BA out-2026; São Luís/MA mar-2026</t>
        </is>
      </c>
      <c r="C12" s="11" t="n">
        <v>4</v>
      </c>
      <c r="D12" s="11">
        <f>IF(LEFT(E12,2)="Ex","Alta",IF(C12&gt;=3,"Alta",IF(C12=2,"Média","Baixa")))</f>
        <v/>
      </c>
      <c r="E12" s="10" t="inlineStr">
        <is>
          <t>Nunca expôs</t>
        </is>
      </c>
      <c r="F12" s="10" t="inlineStr"/>
      <c r="G12" s="10" t="inlineStr"/>
      <c r="H12" s="10" t="inlineStr"/>
      <c r="I12" s="10" t="inlineStr"/>
      <c r="J12" s="10" t="inlineStr"/>
      <c r="K12" s="10" t="inlineStr">
        <is>
          <t>showutil.com.br (logos "Expositores da última edição")</t>
        </is>
      </c>
      <c r="L12" s="12" t="inlineStr"/>
      <c r="M12" s="12" t="inlineStr">
        <is>
          <t>A contatar</t>
        </is>
      </c>
      <c r="N12" s="13" t="n"/>
      <c r="O12" s="12" t="inlineStr"/>
    </row>
    <row r="13">
      <c r="A13" s="9" t="inlineStr">
        <is>
          <t>Praticasa</t>
        </is>
      </c>
      <c r="B13" s="10" t="inlineStr">
        <is>
          <t>Caruaru/PE mar-2026; Caruaru/PE out-2026; Feira de Santana/BA mar-2026; São Luís/MA mar-2026</t>
        </is>
      </c>
      <c r="C13" s="11" t="n">
        <v>4</v>
      </c>
      <c r="D13" s="11">
        <f>IF(LEFT(E13,2)="Ex","Alta",IF(C13&gt;=3,"Alta",IF(C13=2,"Média","Baixa")))</f>
        <v/>
      </c>
      <c r="E13" s="10" t="inlineStr">
        <is>
          <t>Nunca expôs</t>
        </is>
      </c>
      <c r="F13" s="10" t="inlineStr"/>
      <c r="G13" s="10" t="inlineStr"/>
      <c r="H13" s="10" t="inlineStr"/>
      <c r="I13" s="10" t="inlineStr"/>
      <c r="J13" s="10" t="inlineStr"/>
      <c r="K13" s="10" t="inlineStr">
        <is>
          <t>showutil.com.br (logos "Expositores da última edição")</t>
        </is>
      </c>
      <c r="L13" s="12" t="inlineStr"/>
      <c r="M13" s="12" t="inlineStr">
        <is>
          <t>A contatar</t>
        </is>
      </c>
      <c r="N13" s="13" t="n"/>
      <c r="O13" s="12" t="inlineStr"/>
    </row>
    <row r="14">
      <c r="A14" s="9" t="inlineStr">
        <is>
          <t>Real</t>
        </is>
      </c>
      <c r="B14" s="10" t="inlineStr">
        <is>
          <t>Caruaru/PE mar-2026; Caruaru/PE out-2026; Feira de Santana/BA out-2026; São Luís/MA mar-2026</t>
        </is>
      </c>
      <c r="C14" s="11" t="n">
        <v>4</v>
      </c>
      <c r="D14" s="11">
        <f>IF(LEFT(E14,2)="Ex","Alta",IF(C14&gt;=3,"Alta",IF(C14=2,"Média","Baixa")))</f>
        <v/>
      </c>
      <c r="E14" s="10" t="inlineStr">
        <is>
          <t>Nunca expôs</t>
        </is>
      </c>
      <c r="F14" s="10" t="inlineStr"/>
      <c r="G14" s="10" t="inlineStr"/>
      <c r="H14" s="10" t="inlineStr"/>
      <c r="I14" s="10" t="inlineStr"/>
      <c r="J14" s="10" t="inlineStr"/>
      <c r="K14" s="10" t="inlineStr">
        <is>
          <t>showutil.com.br (logos "Expositores da última edição")</t>
        </is>
      </c>
      <c r="L14" s="12" t="inlineStr"/>
      <c r="M14" s="12" t="inlineStr">
        <is>
          <t>A contatar</t>
        </is>
      </c>
      <c r="N14" s="13" t="n"/>
      <c r="O14" s="12" t="inlineStr"/>
    </row>
    <row r="15">
      <c r="A15" s="9" t="inlineStr">
        <is>
          <t>Atacaplast</t>
        </is>
      </c>
      <c r="B15" s="10" t="inlineStr">
        <is>
          <t>Caruaru/PE mar-2026; Caruaru/PE out-2026; Feira de Santana/BA mar-2026</t>
        </is>
      </c>
      <c r="C15" s="11" t="n">
        <v>3</v>
      </c>
      <c r="D15" s="11">
        <f>IF(LEFT(E15,2)="Ex","Alta",IF(C15&gt;=3,"Alta",IF(C15=2,"Média","Baixa")))</f>
        <v/>
      </c>
      <c r="E15" s="10" t="inlineStr">
        <is>
          <t>Nunca expôs</t>
        </is>
      </c>
      <c r="F15" s="10" t="inlineStr"/>
      <c r="G15" s="10" t="inlineStr"/>
      <c r="H15" s="10" t="inlineStr"/>
      <c r="I15" s="10" t="inlineStr"/>
      <c r="J15" s="10" t="inlineStr"/>
      <c r="K15" s="10" t="inlineStr">
        <is>
          <t>showutil.com.br (logos "Expositores da última edição")</t>
        </is>
      </c>
      <c r="L15" s="12" t="inlineStr"/>
      <c r="M15" s="12" t="inlineStr">
        <is>
          <t>A contatar</t>
        </is>
      </c>
      <c r="N15" s="13" t="n"/>
      <c r="O15" s="12" t="inlineStr"/>
    </row>
    <row r="16">
      <c r="A16" s="9" t="inlineStr">
        <is>
          <t>Clink</t>
        </is>
      </c>
      <c r="B16" s="10" t="inlineStr">
        <is>
          <t>Caruaru/PE mar-2026; Caruaru/PE out-2026; Feira de Santana/BA mar-2026</t>
        </is>
      </c>
      <c r="C16" s="11" t="n">
        <v>3</v>
      </c>
      <c r="D16" s="11">
        <f>IF(LEFT(E16,2)="Ex","Alta",IF(C16&gt;=3,"Alta",IF(C16=2,"Média","Baixa")))</f>
        <v/>
      </c>
      <c r="E16" s="10" t="inlineStr">
        <is>
          <t>Nunca expôs</t>
        </is>
      </c>
      <c r="F16" s="10" t="inlineStr">
        <is>
          <t>Importador/atacado de UD (organização, cozinha, banheiro)</t>
        </is>
      </c>
      <c r="G16" s="10" t="inlineStr"/>
      <c r="H16" s="10" t="inlineStr">
        <is>
          <t>https://clinkimport.com</t>
        </is>
      </c>
      <c r="I16" s="10" t="inlineStr"/>
      <c r="J16" s="10" t="inlineStr"/>
      <c r="K16" s="10" t="inlineStr">
        <is>
          <t>showutil.com.br (logos "Expositores da última edição")</t>
        </is>
      </c>
      <c r="L16" s="12" t="inlineStr"/>
      <c r="M16" s="12" t="inlineStr">
        <is>
          <t>A contatar</t>
        </is>
      </c>
      <c r="N16" s="13" t="n"/>
      <c r="O16" s="12" t="inlineStr"/>
    </row>
    <row r="17">
      <c r="A17" s="9" t="inlineStr">
        <is>
          <t>Dimix</t>
        </is>
      </c>
      <c r="B17" s="10" t="inlineStr">
        <is>
          <t>Caruaru/PE mar-2026; Caruaru/PE out-2026; Feira de Santana/BA mar-2026</t>
        </is>
      </c>
      <c r="C17" s="11" t="n">
        <v>3</v>
      </c>
      <c r="D17" s="11">
        <f>IF(LEFT(E17,2)="Ex","Alta",IF(C17&gt;=3,"Alta",IF(C17=2,"Média","Baixa")))</f>
        <v/>
      </c>
      <c r="E17" s="10" t="inlineStr">
        <is>
          <t>Nunca expôs</t>
        </is>
      </c>
      <c r="F17" s="10" t="inlineStr"/>
      <c r="G17" s="10" t="inlineStr"/>
      <c r="H17" s="10" t="inlineStr"/>
      <c r="I17" s="10" t="inlineStr"/>
      <c r="J17" s="10" t="inlineStr"/>
      <c r="K17" s="10" t="inlineStr">
        <is>
          <t>showutil.com.br (logos "Expositores da última edição")</t>
        </is>
      </c>
      <c r="L17" s="12" t="inlineStr"/>
      <c r="M17" s="12" t="inlineStr">
        <is>
          <t>A contatar</t>
        </is>
      </c>
      <c r="N17" s="13" t="n"/>
      <c r="O17" s="12" t="inlineStr"/>
    </row>
    <row r="18">
      <c r="A18" s="9" t="inlineStr">
        <is>
          <t>Dmplas</t>
        </is>
      </c>
      <c r="B18" s="10" t="inlineStr">
        <is>
          <t>Caruaru/PE mar-2026; Feira de Santana/BA mar-2026; São Luís/MA mar-2026</t>
        </is>
      </c>
      <c r="C18" s="11" t="n">
        <v>3</v>
      </c>
      <c r="D18" s="11">
        <f>IF(LEFT(E18,2)="Ex","Alta",IF(C18&gt;=3,"Alta",IF(C18=2,"Média","Baixa")))</f>
        <v/>
      </c>
      <c r="E18" s="10" t="inlineStr">
        <is>
          <t>Nunca expôs</t>
        </is>
      </c>
      <c r="F18" s="10" t="inlineStr"/>
      <c r="G18" s="10" t="inlineStr"/>
      <c r="H18" s="10" t="inlineStr"/>
      <c r="I18" s="10" t="inlineStr"/>
      <c r="J18" s="10" t="inlineStr"/>
      <c r="K18" s="10" t="inlineStr">
        <is>
          <t>showutil.com.br (logos "Expositores da última edição")</t>
        </is>
      </c>
      <c r="L18" s="12" t="inlineStr"/>
      <c r="M18" s="12" t="inlineStr">
        <is>
          <t>A contatar</t>
        </is>
      </c>
      <c r="N18" s="13" t="n"/>
      <c r="O18" s="12" t="inlineStr"/>
    </row>
    <row r="19">
      <c r="A19" s="9" t="inlineStr">
        <is>
          <t>Fort Tudo</t>
        </is>
      </c>
      <c r="B19" s="10" t="inlineStr">
        <is>
          <t>Caruaru/PE mar-2026; Caruaru/PE out-2026; São Luís/MA mar-2026</t>
        </is>
      </c>
      <c r="C19" s="11" t="n">
        <v>3</v>
      </c>
      <c r="D19" s="11">
        <f>IF(LEFT(E19,2)="Ex","Alta",IF(C19&gt;=3,"Alta",IF(C19=2,"Média","Baixa")))</f>
        <v/>
      </c>
      <c r="E19" s="10" t="inlineStr">
        <is>
          <t>Nunca expôs</t>
        </is>
      </c>
      <c r="F19" s="10" t="inlineStr"/>
      <c r="G19" s="10" t="inlineStr"/>
      <c r="H19" s="10" t="inlineStr"/>
      <c r="I19" s="10" t="inlineStr"/>
      <c r="J19" s="10" t="inlineStr"/>
      <c r="K19" s="10" t="inlineStr">
        <is>
          <t>showutil.com.br (logos "Expositores da última edição")</t>
        </is>
      </c>
      <c r="L19" s="12" t="inlineStr"/>
      <c r="M19" s="12" t="inlineStr">
        <is>
          <t>A contatar</t>
        </is>
      </c>
      <c r="N19" s="13" t="n"/>
      <c r="O19" s="12" t="inlineStr"/>
    </row>
    <row r="20">
      <c r="A20" s="9" t="inlineStr">
        <is>
          <t>Geonave</t>
        </is>
      </c>
      <c r="B20" s="10" t="inlineStr">
        <is>
          <t>Caruaru/PE mar-2026; Feira de Santana/BA mar-2026; São Luís/MA mar-2026</t>
        </is>
      </c>
      <c r="C20" s="11" t="n">
        <v>3</v>
      </c>
      <c r="D20" s="11">
        <f>IF(LEFT(E20,2)="Ex","Alta",IF(C20&gt;=3,"Alta",IF(C20=2,"Média","Baixa")))</f>
        <v/>
      </c>
      <c r="E20" s="10" t="inlineStr">
        <is>
          <t>Nunca expôs</t>
        </is>
      </c>
      <c r="F20" s="10" t="inlineStr"/>
      <c r="G20" s="10" t="inlineStr"/>
      <c r="H20" s="10" t="inlineStr"/>
      <c r="I20" s="10" t="inlineStr"/>
      <c r="J20" s="10" t="inlineStr"/>
      <c r="K20" s="10" t="inlineStr">
        <is>
          <t>showutil.com.br (logos "Expositores da última edição")</t>
        </is>
      </c>
      <c r="L20" s="12" t="inlineStr"/>
      <c r="M20" s="12" t="inlineStr">
        <is>
          <t>A contatar</t>
        </is>
      </c>
      <c r="N20" s="13" t="n"/>
      <c r="O20" s="12" t="inlineStr"/>
    </row>
    <row r="21">
      <c r="A21" s="9" t="inlineStr">
        <is>
          <t>Horaplast</t>
        </is>
      </c>
      <c r="B21" s="10" t="inlineStr">
        <is>
          <t>Caruaru/PE mar-2026; Caruaru/PE out-2026; Feira de Santana/BA out-2026</t>
        </is>
      </c>
      <c r="C21" s="11" t="n">
        <v>3</v>
      </c>
      <c r="D21" s="11">
        <f>IF(LEFT(E21,2)="Ex","Alta",IF(C21&gt;=3,"Alta",IF(C21=2,"Média","Baixa")))</f>
        <v/>
      </c>
      <c r="E21" s="10" t="inlineStr">
        <is>
          <t>Nunca expôs</t>
        </is>
      </c>
      <c r="F21" s="10" t="inlineStr"/>
      <c r="G21" s="10" t="inlineStr"/>
      <c r="H21" s="10" t="inlineStr"/>
      <c r="I21" s="10" t="inlineStr"/>
      <c r="J21" s="10" t="inlineStr"/>
      <c r="K21" s="10" t="inlineStr">
        <is>
          <t>showutil.com.br (logos "Expositores da última edição")</t>
        </is>
      </c>
      <c r="L21" s="12" t="inlineStr"/>
      <c r="M21" s="12" t="inlineStr">
        <is>
          <t>A contatar</t>
        </is>
      </c>
      <c r="N21" s="13" t="n"/>
      <c r="O21" s="12" t="inlineStr"/>
    </row>
    <row r="22">
      <c r="A22" s="9" t="inlineStr">
        <is>
          <t>Inga Import</t>
        </is>
      </c>
      <c r="B22" s="10" t="inlineStr">
        <is>
          <t>Caruaru/PE mar-2026; Caruaru/PE out-2026; São Luís/MA mar-2026</t>
        </is>
      </c>
      <c r="C22" s="11" t="n">
        <v>3</v>
      </c>
      <c r="D22" s="11">
        <f>IF(LEFT(E22,2)="Ex","Alta",IF(C22&gt;=3,"Alta",IF(C22=2,"Média","Baixa")))</f>
        <v/>
      </c>
      <c r="E22" s="10" t="inlineStr">
        <is>
          <t>Nunca expôs</t>
        </is>
      </c>
      <c r="F22" s="10" t="inlineStr"/>
      <c r="G22" s="10" t="inlineStr"/>
      <c r="H22" s="10" t="inlineStr"/>
      <c r="I22" s="10" t="inlineStr"/>
      <c r="J22" s="10" t="inlineStr"/>
      <c r="K22" s="10" t="inlineStr">
        <is>
          <t>showutil.com.br (logos "Expositores da última edição")</t>
        </is>
      </c>
      <c r="L22" s="12" t="inlineStr"/>
      <c r="M22" s="12" t="inlineStr">
        <is>
          <t>A contatar</t>
        </is>
      </c>
      <c r="N22" s="13" t="n"/>
      <c r="O22" s="12" t="inlineStr"/>
    </row>
    <row r="23">
      <c r="A23" s="9" t="inlineStr">
        <is>
          <t>Jambo</t>
        </is>
      </c>
      <c r="B23" s="10" t="inlineStr">
        <is>
          <t>Caruaru/PE mar-2026; Feira de Santana/BA mar-2026; São Luís/MA mar-2026</t>
        </is>
      </c>
      <c r="C23" s="11" t="n">
        <v>3</v>
      </c>
      <c r="D23" s="11">
        <f>IF(LEFT(E23,2)="Ex","Alta",IF(C23&gt;=3,"Alta",IF(C23=2,"Média","Baixa")))</f>
        <v/>
      </c>
      <c r="E23" s="10" t="inlineStr">
        <is>
          <t>Nunca expôs</t>
        </is>
      </c>
      <c r="F23" s="10" t="inlineStr"/>
      <c r="G23" s="10" t="inlineStr"/>
      <c r="H23" s="10" t="inlineStr"/>
      <c r="I23" s="10" t="inlineStr"/>
      <c r="J23" s="10" t="inlineStr"/>
      <c r="K23" s="10" t="inlineStr">
        <is>
          <t>showutil.com.br (logos "Expositores da última edição")</t>
        </is>
      </c>
      <c r="L23" s="12" t="inlineStr"/>
      <c r="M23" s="12" t="inlineStr">
        <is>
          <t>A contatar</t>
        </is>
      </c>
      <c r="N23" s="13" t="n"/>
      <c r="O23" s="12" t="inlineStr"/>
    </row>
    <row r="24">
      <c r="A24" s="9" t="inlineStr">
        <is>
          <t>Mev Glass</t>
        </is>
      </c>
      <c r="B24" s="10" t="inlineStr">
        <is>
          <t>Caruaru/PE mar-2026; Caruaru/PE out-2026; São Luís/MA mar-2026</t>
        </is>
      </c>
      <c r="C24" s="11" t="n">
        <v>3</v>
      </c>
      <c r="D24" s="11">
        <f>IF(LEFT(E24,2)="Ex","Alta",IF(C24&gt;=3,"Alta",IF(C24=2,"Média","Baixa")))</f>
        <v/>
      </c>
      <c r="E24" s="10" t="inlineStr">
        <is>
          <t>Nunca expôs</t>
        </is>
      </c>
      <c r="F24" s="10" t="inlineStr"/>
      <c r="G24" s="10" t="inlineStr"/>
      <c r="H24" s="10" t="inlineStr"/>
      <c r="I24" s="10" t="inlineStr"/>
      <c r="J24" s="10" t="inlineStr"/>
      <c r="K24" s="10" t="inlineStr">
        <is>
          <t>showutil.com.br (logos "Expositores da última edição")</t>
        </is>
      </c>
      <c r="L24" s="12" t="inlineStr"/>
      <c r="M24" s="12" t="inlineStr">
        <is>
          <t>A contatar</t>
        </is>
      </c>
      <c r="N24" s="13" t="n"/>
      <c r="O24" s="12" t="inlineStr"/>
    </row>
    <row r="25">
      <c r="A25" s="9" t="inlineStr">
        <is>
          <t>Mimo Style</t>
        </is>
      </c>
      <c r="B25" s="10" t="inlineStr">
        <is>
          <t>Caruaru/PE mar-2026; Feira de Santana/BA mar-2026; São Luís/MA mar-2026</t>
        </is>
      </c>
      <c r="C25" s="11" t="n">
        <v>3</v>
      </c>
      <c r="D25" s="11">
        <f>IF(LEFT(E25,2)="Ex","Alta",IF(C25&gt;=3,"Alta",IF(C25=2,"Média","Baixa")))</f>
        <v/>
      </c>
      <c r="E25" s="10" t="inlineStr">
        <is>
          <t>Nunca expôs</t>
        </is>
      </c>
      <c r="F25" s="10" t="inlineStr"/>
      <c r="G25" s="10" t="inlineStr"/>
      <c r="H25" s="10" t="inlineStr"/>
      <c r="I25" s="10" t="inlineStr"/>
      <c r="J25" s="10" t="inlineStr"/>
      <c r="K25" s="10" t="inlineStr">
        <is>
          <t>showutil.com.br (logos "Expositores da última edição")</t>
        </is>
      </c>
      <c r="L25" s="12" t="inlineStr"/>
      <c r="M25" s="12" t="inlineStr">
        <is>
          <t>A contatar</t>
        </is>
      </c>
      <c r="N25" s="13" t="n"/>
      <c r="O25" s="12" t="inlineStr"/>
    </row>
    <row r="26">
      <c r="A26" s="9" t="inlineStr">
        <is>
          <t>Nautika</t>
        </is>
      </c>
      <c r="B26" s="10" t="inlineStr">
        <is>
          <t>Caruaru/PE mar-2026; Feira de Santana/BA mar-2026; São Luís/MA mar-2026</t>
        </is>
      </c>
      <c r="C26" s="11" t="n">
        <v>3</v>
      </c>
      <c r="D26" s="11">
        <f>IF(LEFT(E26,2)="Ex","Alta",IF(C26&gt;=3,"Alta",IF(C26=2,"Média","Baixa")))</f>
        <v/>
      </c>
      <c r="E26" s="10" t="inlineStr">
        <is>
          <t>Nunca expôs</t>
        </is>
      </c>
      <c r="F26" s="10" t="inlineStr"/>
      <c r="G26" s="10" t="inlineStr"/>
      <c r="H26" s="10" t="inlineStr"/>
      <c r="I26" s="10" t="inlineStr"/>
      <c r="J26" s="10" t="inlineStr"/>
      <c r="K26" s="10" t="inlineStr">
        <is>
          <t>showutil.com.br (logos "Expositores da última edição")</t>
        </is>
      </c>
      <c r="L26" s="12" t="inlineStr"/>
      <c r="M26" s="12" t="inlineStr">
        <is>
          <t>A contatar</t>
        </is>
      </c>
      <c r="N26" s="13" t="n"/>
      <c r="O26" s="12" t="inlineStr"/>
    </row>
    <row r="27">
      <c r="A27" s="9" t="inlineStr">
        <is>
          <t>Omniteca</t>
        </is>
      </c>
      <c r="B27" s="10" t="inlineStr">
        <is>
          <t>Showbrinq Fortaleza/CE jul-2026; Caruaru/PE out-2026; Feira de Santana/BA out-2026</t>
        </is>
      </c>
      <c r="C27" s="11" t="n">
        <v>3</v>
      </c>
      <c r="D27" s="11">
        <f>IF(LEFT(E27,2)="Ex","Alta",IF(C27&gt;=3,"Alta",IF(C27=2,"Média","Baixa")))</f>
        <v/>
      </c>
      <c r="E27" s="10" t="inlineStr">
        <is>
          <t>Nunca expôs</t>
        </is>
      </c>
      <c r="F27" s="10" t="inlineStr"/>
      <c r="G27" s="10" t="inlineStr"/>
      <c r="H27" s="10" t="inlineStr"/>
      <c r="I27" s="10" t="inlineStr"/>
      <c r="J27" s="10" t="inlineStr"/>
      <c r="K27" s="10" t="inlineStr">
        <is>
          <t>showutil.com.br (logos "Expositores da última edição") | https://www.instagram.com/reel/Dai8G_cN9cJ/</t>
        </is>
      </c>
      <c r="L27" s="12" t="inlineStr"/>
      <c r="M27" s="12" t="inlineStr">
        <is>
          <t>A contatar</t>
        </is>
      </c>
      <c r="N27" s="13" t="n"/>
      <c r="O27" s="12" t="inlineStr"/>
    </row>
    <row r="28">
      <c r="A28" s="9" t="inlineStr">
        <is>
          <t>Plasbrink / Ligbrin</t>
        </is>
      </c>
      <c r="B28" s="10" t="inlineStr">
        <is>
          <t>Caruaru/PE mar-2026; Caruaru/PE out-2026; Feira de Santana/BA out-2026</t>
        </is>
      </c>
      <c r="C28" s="11" t="n">
        <v>3</v>
      </c>
      <c r="D28" s="11">
        <f>IF(LEFT(E28,2)="Ex","Alta",IF(C28&gt;=3,"Alta",IF(C28=2,"Média","Baixa")))</f>
        <v/>
      </c>
      <c r="E28" s="10" t="inlineStr">
        <is>
          <t>Nunca expôs</t>
        </is>
      </c>
      <c r="F28" s="10" t="inlineStr"/>
      <c r="G28" s="10" t="inlineStr"/>
      <c r="H28" s="10" t="inlineStr"/>
      <c r="I28" s="10" t="inlineStr"/>
      <c r="J28" s="10" t="inlineStr"/>
      <c r="K28" s="10" t="inlineStr">
        <is>
          <t>showutil.com.br (logos "Expositores da última edição")</t>
        </is>
      </c>
      <c r="L28" s="12" t="inlineStr"/>
      <c r="M28" s="12" t="inlineStr">
        <is>
          <t>A contatar</t>
        </is>
      </c>
      <c r="N28" s="13" t="n"/>
      <c r="O28" s="12" t="inlineStr"/>
    </row>
    <row r="29">
      <c r="A29" s="9" t="inlineStr">
        <is>
          <t>Plascity</t>
        </is>
      </c>
      <c r="B29" s="10" t="inlineStr">
        <is>
          <t>Caruaru/PE mar-2026; Caruaru/PE out-2026; Feira de Santana/BA mar-2026</t>
        </is>
      </c>
      <c r="C29" s="11" t="n">
        <v>3</v>
      </c>
      <c r="D29" s="11">
        <f>IF(LEFT(E29,2)="Ex","Alta",IF(C29&gt;=3,"Alta",IF(C29=2,"Média","Baixa")))</f>
        <v/>
      </c>
      <c r="E29" s="10" t="inlineStr">
        <is>
          <t>Nunca expôs</t>
        </is>
      </c>
      <c r="F29" s="10" t="inlineStr"/>
      <c r="G29" s="10" t="inlineStr"/>
      <c r="H29" s="10" t="inlineStr"/>
      <c r="I29" s="10" t="inlineStr"/>
      <c r="J29" s="10" t="inlineStr"/>
      <c r="K29" s="10" t="inlineStr">
        <is>
          <t>showutil.com.br (logos "Expositores da última edição")</t>
        </is>
      </c>
      <c r="L29" s="12" t="inlineStr"/>
      <c r="M29" s="12" t="inlineStr">
        <is>
          <t>A contatar</t>
        </is>
      </c>
      <c r="N29" s="13" t="n"/>
      <c r="O29" s="12" t="inlineStr"/>
    </row>
    <row r="30">
      <c r="A30" s="9" t="inlineStr">
        <is>
          <t>Vidroluz</t>
        </is>
      </c>
      <c r="B30" s="10" t="inlineStr">
        <is>
          <t>Caruaru/PE mar-2026; Caruaru/PE out-2026; Feira de Santana/BA out-2026</t>
        </is>
      </c>
      <c r="C30" s="11" t="n">
        <v>3</v>
      </c>
      <c r="D30" s="11">
        <f>IF(LEFT(E30,2)="Ex","Alta",IF(C30&gt;=3,"Alta",IF(C30=2,"Média","Baixa")))</f>
        <v/>
      </c>
      <c r="E30" s="10" t="inlineStr">
        <is>
          <t>Nunca expôs</t>
        </is>
      </c>
      <c r="F30" s="10" t="inlineStr"/>
      <c r="G30" s="10" t="inlineStr"/>
      <c r="H30" s="10" t="inlineStr"/>
      <c r="I30" s="10" t="inlineStr"/>
      <c r="J30" s="10" t="inlineStr"/>
      <c r="K30" s="10" t="inlineStr">
        <is>
          <t>showutil.com.br (logos "Expositores da última edição")</t>
        </is>
      </c>
      <c r="L30" s="12" t="inlineStr"/>
      <c r="M30" s="12" t="inlineStr">
        <is>
          <t>A contatar</t>
        </is>
      </c>
      <c r="N30" s="13" t="n"/>
      <c r="O30" s="12" t="inlineStr"/>
    </row>
    <row r="31">
      <c r="A31" s="9" t="inlineStr">
        <is>
          <t>Ápice</t>
        </is>
      </c>
      <c r="B31" s="10" t="inlineStr">
        <is>
          <t>Caruaru/PE mar-2026; Caruaru/PE out-2026; Feira de Santana/BA mar-2026</t>
        </is>
      </c>
      <c r="C31" s="11" t="n">
        <v>3</v>
      </c>
      <c r="D31" s="11">
        <f>IF(LEFT(E31,2)="Ex","Alta",IF(C31&gt;=3,"Alta",IF(C31=2,"Média","Baixa")))</f>
        <v/>
      </c>
      <c r="E31" s="10" t="inlineStr">
        <is>
          <t>Nunca expôs</t>
        </is>
      </c>
      <c r="F31" s="10" t="inlineStr"/>
      <c r="G31" s="10" t="inlineStr"/>
      <c r="H31" s="10" t="inlineStr"/>
      <c r="I31" s="10" t="inlineStr"/>
      <c r="J31" s="10" t="inlineStr"/>
      <c r="K31" s="10" t="inlineStr">
        <is>
          <t>showutil.com.br (logos "Expositores da última edição")</t>
        </is>
      </c>
      <c r="L31" s="12" t="inlineStr"/>
      <c r="M31" s="12" t="inlineStr">
        <is>
          <t>A contatar</t>
        </is>
      </c>
      <c r="N31" s="13" t="n"/>
      <c r="O31" s="12" t="inlineStr"/>
    </row>
    <row r="32">
      <c r="A32" s="9" t="inlineStr">
        <is>
          <t>Amazônia Aromas</t>
        </is>
      </c>
      <c r="B32" s="10" t="inlineStr">
        <is>
          <t>Caruaru/PE mar-2026; Caruaru/PE out-2026</t>
        </is>
      </c>
      <c r="C32" s="11" t="n">
        <v>2</v>
      </c>
      <c r="D32" s="11">
        <f>IF(LEFT(E32,2)="Ex","Alta",IF(C32&gt;=3,"Alta",IF(C32=2,"Média","Baixa")))</f>
        <v/>
      </c>
      <c r="E32" s="10" t="inlineStr">
        <is>
          <t>Nunca expôs</t>
        </is>
      </c>
      <c r="F32" s="10" t="inlineStr">
        <is>
          <t>Aromas, difusores, perfumes de ambiente</t>
        </is>
      </c>
      <c r="G32" s="10" t="inlineStr">
        <is>
          <t>Guarulhos/SP</t>
        </is>
      </c>
      <c r="H32" s="10" t="inlineStr">
        <is>
          <t>https://amazoniaaromas.com.br</t>
        </is>
      </c>
      <c r="I32" s="10" t="inlineStr">
        <is>
          <t>instagram.com/amazoniaaromas</t>
        </is>
      </c>
      <c r="J32" s="10" t="inlineStr">
        <is>
          <t>(11) 2496-1659 / WhatsApp (11) 96180-2804</t>
        </is>
      </c>
      <c r="K32" s="10" t="inlineStr">
        <is>
          <t>showutil.com.br (logos "Expositores da última edição")</t>
        </is>
      </c>
      <c r="L32" s="12" t="inlineStr"/>
      <c r="M32" s="12" t="inlineStr">
        <is>
          <t>A contatar</t>
        </is>
      </c>
      <c r="N32" s="13" t="n"/>
      <c r="O32" s="12" t="inlineStr"/>
    </row>
    <row r="33">
      <c r="A33" s="9" t="inlineStr">
        <is>
          <t>Aço Forte</t>
        </is>
      </c>
      <c r="B33" s="10" t="inlineStr">
        <is>
          <t>Caruaru/PE mar-2026; São Luís/MA mar-2026</t>
        </is>
      </c>
      <c r="C33" s="11" t="n">
        <v>2</v>
      </c>
      <c r="D33" s="11">
        <f>IF(LEFT(E33,2)="Ex","Alta",IF(C33&gt;=3,"Alta",IF(C33=2,"Média","Baixa")))</f>
        <v/>
      </c>
      <c r="E33" s="10" t="inlineStr">
        <is>
          <t>Nunca expôs</t>
        </is>
      </c>
      <c r="F33" s="10" t="inlineStr"/>
      <c r="G33" s="10" t="inlineStr"/>
      <c r="H33" s="10" t="inlineStr"/>
      <c r="I33" s="10" t="inlineStr"/>
      <c r="J33" s="10" t="inlineStr"/>
      <c r="K33" s="10" t="inlineStr">
        <is>
          <t>showutil.com.br (logos "Expositores da última edição")</t>
        </is>
      </c>
      <c r="L33" s="12" t="inlineStr"/>
      <c r="M33" s="12" t="inlineStr">
        <is>
          <t>A contatar</t>
        </is>
      </c>
      <c r="N33" s="13" t="n"/>
      <c r="O33" s="12" t="inlineStr"/>
    </row>
    <row r="34">
      <c r="A34" s="9" t="inlineStr">
        <is>
          <t>Bellagio</t>
        </is>
      </c>
      <c r="B34" s="10" t="inlineStr">
        <is>
          <t>Caruaru/PE mar-2026; Caruaru/PE out-2026</t>
        </is>
      </c>
      <c r="C34" s="11" t="n">
        <v>2</v>
      </c>
      <c r="D34" s="11">
        <f>IF(LEFT(E34,2)="Ex","Alta",IF(C34&gt;=3,"Alta",IF(C34=2,"Média","Baixa")))</f>
        <v/>
      </c>
      <c r="E34" s="10" t="inlineStr">
        <is>
          <t>Nunca expôs</t>
        </is>
      </c>
      <c r="F34" s="10" t="inlineStr"/>
      <c r="G34" s="10" t="inlineStr"/>
      <c r="H34" s="10" t="inlineStr"/>
      <c r="I34" s="10" t="inlineStr"/>
      <c r="J34" s="10" t="inlineStr"/>
      <c r="K34" s="10" t="inlineStr">
        <is>
          <t>showutil.com.br (logos "Expositores da última edição")</t>
        </is>
      </c>
      <c r="L34" s="12" t="inlineStr"/>
      <c r="M34" s="12" t="inlineStr">
        <is>
          <t>A contatar</t>
        </is>
      </c>
      <c r="N34" s="13" t="n"/>
      <c r="O34" s="12" t="inlineStr"/>
    </row>
    <row r="35">
      <c r="A35" s="9" t="inlineStr">
        <is>
          <t>Casa Bela</t>
        </is>
      </c>
      <c r="B35" s="10" t="inlineStr">
        <is>
          <t>Caruaru/PE mar-2026; Caruaru/PE out-2026</t>
        </is>
      </c>
      <c r="C35" s="11" t="n">
        <v>2</v>
      </c>
      <c r="D35" s="11">
        <f>IF(LEFT(E35,2)="Ex","Alta",IF(C35&gt;=3,"Alta",IF(C35=2,"Média","Baixa")))</f>
        <v/>
      </c>
      <c r="E35" s="10" t="inlineStr">
        <is>
          <t>Nunca expôs</t>
        </is>
      </c>
      <c r="F35" s="10" t="inlineStr"/>
      <c r="G35" s="10" t="inlineStr"/>
      <c r="H35" s="10" t="inlineStr"/>
      <c r="I35" s="10" t="inlineStr"/>
      <c r="J35" s="10" t="inlineStr"/>
      <c r="K35" s="10" t="inlineStr">
        <is>
          <t>showutil.com.br (logos "Expositores da última edição")</t>
        </is>
      </c>
      <c r="L35" s="12" t="inlineStr"/>
      <c r="M35" s="12" t="inlineStr">
        <is>
          <t>A contatar</t>
        </is>
      </c>
      <c r="N35" s="13" t="n"/>
      <c r="O35" s="12" t="inlineStr"/>
    </row>
    <row r="36">
      <c r="A36" s="9" t="inlineStr">
        <is>
          <t>Fenima</t>
        </is>
      </c>
      <c r="B36" s="10" t="inlineStr">
        <is>
          <t>Caruaru/PE out-2026; Feira de Santana/BA out-2026</t>
        </is>
      </c>
      <c r="C36" s="11" t="n">
        <v>2</v>
      </c>
      <c r="D36" s="11">
        <f>IF(LEFT(E36,2)="Ex","Alta",IF(C36&gt;=3,"Alta",IF(C36=2,"Média","Baixa")))</f>
        <v/>
      </c>
      <c r="E36" s="10" t="inlineStr">
        <is>
          <t>Nunca expôs</t>
        </is>
      </c>
      <c r="F36" s="10" t="inlineStr"/>
      <c r="G36" s="10" t="inlineStr"/>
      <c r="H36" s="10" t="inlineStr"/>
      <c r="I36" s="10" t="inlineStr"/>
      <c r="J36" s="10" t="inlineStr"/>
      <c r="K36" s="10" t="inlineStr">
        <is>
          <t>showutil.com.br (logos "Expositores da última edição")</t>
        </is>
      </c>
      <c r="L36" s="12" t="inlineStr"/>
      <c r="M36" s="12" t="inlineStr">
        <is>
          <t>A contatar</t>
        </is>
      </c>
      <c r="N36" s="13" t="n"/>
      <c r="O36" s="12" t="inlineStr"/>
    </row>
    <row r="37">
      <c r="A37" s="9" t="inlineStr">
        <is>
          <t>Injetemp</t>
        </is>
      </c>
      <c r="B37" s="10" t="inlineStr">
        <is>
          <t>Caruaru/PE mar-2026; São Luís/MA mar-2026</t>
        </is>
      </c>
      <c r="C37" s="11" t="n">
        <v>2</v>
      </c>
      <c r="D37" s="11">
        <f>IF(LEFT(E37,2)="Ex","Alta",IF(C37&gt;=3,"Alta",IF(C37=2,"Média","Baixa")))</f>
        <v/>
      </c>
      <c r="E37" s="10" t="inlineStr">
        <is>
          <t>Nunca expôs</t>
        </is>
      </c>
      <c r="F37" s="10" t="inlineStr"/>
      <c r="G37" s="10" t="inlineStr"/>
      <c r="H37" s="10" t="inlineStr"/>
      <c r="I37" s="10" t="inlineStr"/>
      <c r="J37" s="10" t="inlineStr"/>
      <c r="K37" s="10" t="inlineStr">
        <is>
          <t>showutil.com.br (logos "Expositores da última edição")</t>
        </is>
      </c>
      <c r="L37" s="12" t="inlineStr"/>
      <c r="M37" s="12" t="inlineStr">
        <is>
          <t>A contatar</t>
        </is>
      </c>
      <c r="N37" s="13" t="n"/>
      <c r="O37" s="12" t="inlineStr"/>
    </row>
    <row r="38">
      <c r="A38" s="9" t="inlineStr">
        <is>
          <t>Inkplas</t>
        </is>
      </c>
      <c r="B38" s="10" t="inlineStr">
        <is>
          <t>Caruaru/PE mar-2026; São Luís/MA mar-2026</t>
        </is>
      </c>
      <c r="C38" s="11" t="n">
        <v>2</v>
      </c>
      <c r="D38" s="11">
        <f>IF(LEFT(E38,2)="Ex","Alta",IF(C38&gt;=3,"Alta",IF(C38=2,"Média","Baixa")))</f>
        <v/>
      </c>
      <c r="E38" s="10" t="inlineStr">
        <is>
          <t>Nunca expôs</t>
        </is>
      </c>
      <c r="F38" s="10" t="inlineStr">
        <is>
          <t>UD plásticas (indústria)</t>
        </is>
      </c>
      <c r="G38" s="10" t="inlineStr">
        <is>
          <t>Eusébio/CE</t>
        </is>
      </c>
      <c r="H38" s="10" t="inlineStr"/>
      <c r="I38" s="10" t="inlineStr"/>
      <c r="J38" s="10" t="inlineStr"/>
      <c r="K38" s="10" t="inlineStr">
        <is>
          <t>showutil.com.br (logos "Expositores da última edição")</t>
        </is>
      </c>
      <c r="L38" s="12" t="inlineStr"/>
      <c r="M38" s="12" t="inlineStr">
        <is>
          <t>A contatar</t>
        </is>
      </c>
      <c r="N38" s="13" t="n"/>
      <c r="O38" s="12" t="inlineStr"/>
    </row>
    <row r="39">
      <c r="A39" s="9" t="inlineStr">
        <is>
          <t>Inplast</t>
        </is>
      </c>
      <c r="B39" s="10" t="inlineStr">
        <is>
          <t>Caruaru/PE out-2026; São Luís/MA mar-2026</t>
        </is>
      </c>
      <c r="C39" s="11" t="n">
        <v>2</v>
      </c>
      <c r="D39" s="11">
        <f>IF(LEFT(E39,2)="Ex","Alta",IF(C39&gt;=3,"Alta",IF(C39=2,"Média","Baixa")))</f>
        <v/>
      </c>
      <c r="E39" s="10" t="inlineStr">
        <is>
          <t>Nunca expôs</t>
        </is>
      </c>
      <c r="F39" s="10" t="inlineStr">
        <is>
          <t>UD plásticas (indústria)</t>
        </is>
      </c>
      <c r="G39" s="10" t="inlineStr">
        <is>
          <t>Pedreira/SP</t>
        </is>
      </c>
      <c r="H39" s="10" t="inlineStr">
        <is>
          <t>https://www.inplast.ind.br</t>
        </is>
      </c>
      <c r="I39" s="10" t="inlineStr"/>
      <c r="J39" s="10" t="inlineStr">
        <is>
          <t>(19) 3852-9700 / WhatsApp (19) 98424-0666</t>
        </is>
      </c>
      <c r="K39" s="10" t="inlineStr">
        <is>
          <t>showutil.com.br (logos "Expositores da última edição")</t>
        </is>
      </c>
      <c r="L39" s="12" t="inlineStr"/>
      <c r="M39" s="12" t="inlineStr">
        <is>
          <t>A contatar</t>
        </is>
      </c>
      <c r="N39" s="13" t="n"/>
      <c r="O39" s="12" t="inlineStr"/>
    </row>
    <row r="40">
      <c r="A40" s="9" t="inlineStr">
        <is>
          <t>Jr Aluminio</t>
        </is>
      </c>
      <c r="B40" s="10" t="inlineStr">
        <is>
          <t>Caruaru/PE mar-2026; Caruaru/PE out-2026</t>
        </is>
      </c>
      <c r="C40" s="11" t="n">
        <v>2</v>
      </c>
      <c r="D40" s="11">
        <f>IF(LEFT(E40,2)="Ex","Alta",IF(C40&gt;=3,"Alta",IF(C40=2,"Média","Baixa")))</f>
        <v/>
      </c>
      <c r="E40" s="10" t="inlineStr">
        <is>
          <t>Nunca expôs</t>
        </is>
      </c>
      <c r="F40" s="10" t="inlineStr">
        <is>
          <t>UD em alumínio fundido (panelas)</t>
        </is>
      </c>
      <c r="G40" s="10" t="inlineStr">
        <is>
          <t>MG</t>
        </is>
      </c>
      <c r="H40" s="10" t="inlineStr">
        <is>
          <t>http://aluminiojr.com.br</t>
        </is>
      </c>
      <c r="I40" s="10" t="inlineStr"/>
      <c r="J40" s="10" t="inlineStr"/>
      <c r="K40" s="10" t="inlineStr">
        <is>
          <t>showutil.com.br (logos "Expositores da última edição")</t>
        </is>
      </c>
      <c r="L40" s="12" t="inlineStr"/>
      <c r="M40" s="12" t="inlineStr">
        <is>
          <t>A contatar</t>
        </is>
      </c>
      <c r="N40" s="13" t="n"/>
      <c r="O40" s="12" t="inlineStr"/>
    </row>
    <row r="41">
      <c r="A41" s="9" t="inlineStr">
        <is>
          <t>Julifix</t>
        </is>
      </c>
      <c r="B41" s="10" t="inlineStr">
        <is>
          <t>Caruaru/PE mar-2026; São Luís/MA mar-2026</t>
        </is>
      </c>
      <c r="C41" s="11" t="n">
        <v>2</v>
      </c>
      <c r="D41" s="11">
        <f>IF(LEFT(E41,2)="Ex","Alta",IF(C41&gt;=3,"Alta",IF(C41=2,"Média","Baixa")))</f>
        <v/>
      </c>
      <c r="E41" s="10" t="inlineStr">
        <is>
          <t>Nunca expôs</t>
        </is>
      </c>
      <c r="F41" s="10" t="inlineStr"/>
      <c r="G41" s="10" t="inlineStr"/>
      <c r="H41" s="10" t="inlineStr"/>
      <c r="I41" s="10" t="inlineStr"/>
      <c r="J41" s="10" t="inlineStr"/>
      <c r="K41" s="10" t="inlineStr">
        <is>
          <t>showutil.com.br (logos "Expositores da última edição")</t>
        </is>
      </c>
      <c r="L41" s="12" t="inlineStr"/>
      <c r="M41" s="12" t="inlineStr">
        <is>
          <t>A contatar</t>
        </is>
      </c>
      <c r="N41" s="13" t="n"/>
      <c r="O41" s="12" t="inlineStr"/>
    </row>
    <row r="42">
      <c r="A42" s="9" t="inlineStr">
        <is>
          <t>Marilu</t>
        </is>
      </c>
      <c r="B42" s="10" t="inlineStr">
        <is>
          <t>Caruaru/PE mar-2026; Caruaru/PE out-2026</t>
        </is>
      </c>
      <c r="C42" s="11" t="n">
        <v>2</v>
      </c>
      <c r="D42" s="11">
        <f>IF(LEFT(E42,2)="Ex","Alta",IF(C42&gt;=3,"Alta",IF(C42=2,"Média","Baixa")))</f>
        <v/>
      </c>
      <c r="E42" s="10" t="inlineStr">
        <is>
          <t>Nunca expôs</t>
        </is>
      </c>
      <c r="F42" s="10" t="inlineStr"/>
      <c r="G42" s="10" t="inlineStr"/>
      <c r="H42" s="10" t="inlineStr"/>
      <c r="I42" s="10" t="inlineStr"/>
      <c r="J42" s="10" t="inlineStr"/>
      <c r="K42" s="10" t="inlineStr">
        <is>
          <t>showutil.com.br (logos "Expositores da última edição")</t>
        </is>
      </c>
      <c r="L42" s="12" t="inlineStr"/>
      <c r="M42" s="12" t="inlineStr">
        <is>
          <t>A contatar</t>
        </is>
      </c>
      <c r="N42" s="13" t="n"/>
      <c r="O42" s="12" t="inlineStr"/>
    </row>
    <row r="43">
      <c r="A43" s="9" t="inlineStr">
        <is>
          <t>Matoys</t>
        </is>
      </c>
      <c r="B43" s="10" t="inlineStr">
        <is>
          <t>Caruaru/PE mar-2026; Caruaru/PE out-2026</t>
        </is>
      </c>
      <c r="C43" s="11" t="n">
        <v>2</v>
      </c>
      <c r="D43" s="11">
        <f>IF(LEFT(E43,2)="Ex","Alta",IF(C43&gt;=3,"Alta",IF(C43=2,"Média","Baixa")))</f>
        <v/>
      </c>
      <c r="E43" s="10" t="inlineStr">
        <is>
          <t>Nunca expôs</t>
        </is>
      </c>
      <c r="F43" s="10" t="inlineStr">
        <is>
          <t>Brinquedos (indústria)</t>
        </is>
      </c>
      <c r="G43" s="10" t="inlineStr">
        <is>
          <t>Mairiporã/SP</t>
        </is>
      </c>
      <c r="H43" s="10" t="inlineStr"/>
      <c r="I43" s="10" t="inlineStr"/>
      <c r="J43" s="10" t="inlineStr"/>
      <c r="K43" s="10" t="inlineStr">
        <is>
          <t>showutil.com.br (logos "Expositores da última edição")</t>
        </is>
      </c>
      <c r="L43" s="12" t="inlineStr"/>
      <c r="M43" s="12" t="inlineStr">
        <is>
          <t>A contatar</t>
        </is>
      </c>
      <c r="N43" s="13" t="n"/>
      <c r="O43" s="12" t="inlineStr"/>
    </row>
    <row r="44">
      <c r="A44" s="9" t="inlineStr">
        <is>
          <t>Mistral</t>
        </is>
      </c>
      <c r="B44" s="10" t="inlineStr">
        <is>
          <t>Caruaru/PE out-2026; Feira de Santana/BA out-2026</t>
        </is>
      </c>
      <c r="C44" s="11" t="n">
        <v>2</v>
      </c>
      <c r="D44" s="11">
        <f>IF(LEFT(E44,2)="Ex","Alta",IF(C44&gt;=3,"Alta",IF(C44=2,"Média","Baixa")))</f>
        <v/>
      </c>
      <c r="E44" s="10" t="inlineStr">
        <is>
          <t>Nunca expôs</t>
        </is>
      </c>
      <c r="F44" s="10" t="inlineStr"/>
      <c r="G44" s="10" t="inlineStr"/>
      <c r="H44" s="10" t="inlineStr"/>
      <c r="I44" s="10" t="inlineStr"/>
      <c r="J44" s="10" t="inlineStr"/>
      <c r="K44" s="10" t="inlineStr">
        <is>
          <t>showutil.com.br (logos "Expositores da última edição")</t>
        </is>
      </c>
      <c r="L44" s="12" t="inlineStr"/>
      <c r="M44" s="12" t="inlineStr">
        <is>
          <t>A contatar</t>
        </is>
      </c>
      <c r="N44" s="13" t="n"/>
      <c r="O44" s="12" t="inlineStr"/>
    </row>
    <row r="45">
      <c r="A45" s="9" t="inlineStr">
        <is>
          <t>Mult Mix / D-Brink</t>
        </is>
      </c>
      <c r="B45" s="10" t="inlineStr">
        <is>
          <t>Caruaru/PE out-2026; Feira de Santana/BA out-2026</t>
        </is>
      </c>
      <c r="C45" s="11" t="n">
        <v>2</v>
      </c>
      <c r="D45" s="11">
        <f>IF(LEFT(E45,2)="Ex","Alta",IF(C45&gt;=3,"Alta",IF(C45=2,"Média","Baixa")))</f>
        <v/>
      </c>
      <c r="E45" s="10" t="inlineStr">
        <is>
          <t>Nunca expôs</t>
        </is>
      </c>
      <c r="F45" s="10" t="inlineStr"/>
      <c r="G45" s="10" t="inlineStr"/>
      <c r="H45" s="10" t="inlineStr"/>
      <c r="I45" s="10" t="inlineStr"/>
      <c r="J45" s="10" t="inlineStr"/>
      <c r="K45" s="10" t="inlineStr">
        <is>
          <t>showutil.com.br (logos "Expositores da última edição")</t>
        </is>
      </c>
      <c r="L45" s="12" t="inlineStr"/>
      <c r="M45" s="12" t="inlineStr">
        <is>
          <t>A contatar</t>
        </is>
      </c>
      <c r="N45" s="13" t="n"/>
      <c r="O45" s="12" t="inlineStr"/>
    </row>
    <row r="46">
      <c r="A46" s="9" t="inlineStr">
        <is>
          <t>Mypa</t>
        </is>
      </c>
      <c r="B46" s="10" t="inlineStr">
        <is>
          <t>Caruaru/PE mar-2026; Caruaru/PE out-2026</t>
        </is>
      </c>
      <c r="C46" s="11" t="n">
        <v>2</v>
      </c>
      <c r="D46" s="11">
        <f>IF(LEFT(E46,2)="Ex","Alta",IF(C46&gt;=3,"Alta",IF(C46=2,"Média","Baixa")))</f>
        <v/>
      </c>
      <c r="E46" s="10" t="inlineStr">
        <is>
          <t>Nunca expôs</t>
        </is>
      </c>
      <c r="F46" s="10" t="inlineStr"/>
      <c r="G46" s="10" t="inlineStr"/>
      <c r="H46" s="10" t="inlineStr"/>
      <c r="I46" s="10" t="inlineStr"/>
      <c r="J46" s="10" t="inlineStr"/>
      <c r="K46" s="10" t="inlineStr">
        <is>
          <t>showutil.com.br (logos "Expositores da última edição")</t>
        </is>
      </c>
      <c r="L46" s="12" t="inlineStr"/>
      <c r="M46" s="12" t="inlineStr">
        <is>
          <t>A contatar</t>
        </is>
      </c>
      <c r="N46" s="13" t="n"/>
      <c r="O46" s="12" t="inlineStr"/>
    </row>
    <row r="47">
      <c r="A47" s="9" t="inlineStr">
        <is>
          <t>New Plastic</t>
        </is>
      </c>
      <c r="B47" s="10" t="inlineStr">
        <is>
          <t>Caruaru/PE mar-2026; Caruaru/PE out-2026</t>
        </is>
      </c>
      <c r="C47" s="11" t="n">
        <v>2</v>
      </c>
      <c r="D47" s="11">
        <f>IF(LEFT(E47,2)="Ex","Alta",IF(C47&gt;=3,"Alta",IF(C47=2,"Média","Baixa")))</f>
        <v/>
      </c>
      <c r="E47" s="10" t="inlineStr">
        <is>
          <t>Nunca expôs</t>
        </is>
      </c>
      <c r="F47" s="10" t="inlineStr">
        <is>
          <t>UD plásticas (grupo Milplastic)</t>
        </is>
      </c>
      <c r="G47" s="10" t="inlineStr">
        <is>
          <t>Maracanaú/CE</t>
        </is>
      </c>
      <c r="H47" s="10" t="inlineStr"/>
      <c r="I47" s="10" t="inlineStr"/>
      <c r="J47" s="10" t="inlineStr"/>
      <c r="K47" s="10" t="inlineStr">
        <is>
          <t>showutil.com.br (logos "Expositores da última edição")</t>
        </is>
      </c>
      <c r="L47" s="12" t="inlineStr"/>
      <c r="M47" s="12" t="inlineStr">
        <is>
          <t>A contatar</t>
        </is>
      </c>
      <c r="N47" s="13" t="n"/>
      <c r="O47" s="12" t="inlineStr"/>
    </row>
    <row r="48">
      <c r="A48" s="9" t="inlineStr">
        <is>
          <t>Nunestar</t>
        </is>
      </c>
      <c r="B48" s="10" t="inlineStr">
        <is>
          <t>Caruaru/PE out-2026; Feira de Santana/BA out-2026</t>
        </is>
      </c>
      <c r="C48" s="11" t="n">
        <v>2</v>
      </c>
      <c r="D48" s="11">
        <f>IF(LEFT(E48,2)="Ex","Alta",IF(C48&gt;=3,"Alta",IF(C48=2,"Média","Baixa")))</f>
        <v/>
      </c>
      <c r="E48" s="10" t="inlineStr">
        <is>
          <t>Nunca expôs</t>
        </is>
      </c>
      <c r="F48" s="10" t="inlineStr">
        <is>
          <t>Importador/atacado — UD, brinquedos, bijuterias, papelaria, presentes</t>
        </is>
      </c>
      <c r="G48" s="10" t="inlineStr">
        <is>
          <t>São Paulo/SP (Brás)</t>
        </is>
      </c>
      <c r="H48" s="10" t="inlineStr"/>
      <c r="I48" s="10" t="inlineStr">
        <is>
          <t>instagram.com/carlao_nunestar</t>
        </is>
      </c>
      <c r="J48" s="10" t="inlineStr">
        <is>
          <t>(11) 3311-7611</t>
        </is>
      </c>
      <c r="K48" s="10" t="inlineStr">
        <is>
          <t>showutil.com.br (logos "Expositores da última edição")</t>
        </is>
      </c>
      <c r="L48" s="12" t="inlineStr"/>
      <c r="M48" s="12" t="inlineStr">
        <is>
          <t>A contatar</t>
        </is>
      </c>
      <c r="N48" s="13" t="n"/>
      <c r="O48" s="12" t="inlineStr"/>
    </row>
    <row r="49">
      <c r="A49" s="9" t="inlineStr">
        <is>
          <t>Orange Toys</t>
        </is>
      </c>
      <c r="B49" s="10" t="inlineStr">
        <is>
          <t>Showbrinq Feira de Santana/BA jul-2026; Showbrinq Fortaleza/CE jul-2026</t>
        </is>
      </c>
      <c r="C49" s="11" t="n">
        <v>2</v>
      </c>
      <c r="D49" s="11">
        <f>IF(LEFT(E49,2)="Ex","Alta",IF(C49&gt;=3,"Alta",IF(C49=2,"Média","Baixa")))</f>
        <v/>
      </c>
      <c r="E49" s="10" t="inlineStr">
        <is>
          <t>Nunca expôs</t>
        </is>
      </c>
      <c r="F49" s="10" t="inlineStr">
        <is>
          <t>Brinquedos</t>
        </is>
      </c>
      <c r="G49" s="10" t="inlineStr"/>
      <c r="H49" s="10" t="inlineStr">
        <is>
          <t>https://orangetoys.com.br</t>
        </is>
      </c>
      <c r="I49" s="10" t="inlineStr"/>
      <c r="J49" s="10" t="inlineStr"/>
      <c r="K49" s="10" t="inlineStr">
        <is>
          <t>https://www.instagram.com/reel/DafonV7tMmg/ | https://orangetoys.com.br/calendario/</t>
        </is>
      </c>
      <c r="L49" s="12" t="inlineStr"/>
      <c r="M49" s="12" t="inlineStr">
        <is>
          <t>A contatar</t>
        </is>
      </c>
      <c r="N49" s="13" t="n"/>
      <c r="O49" s="12" t="inlineStr"/>
    </row>
    <row r="50">
      <c r="A50" s="9" t="inlineStr">
        <is>
          <t>Panamby</t>
        </is>
      </c>
      <c r="B50" s="10" t="inlineStr">
        <is>
          <t>Caruaru/PE mar-2026; Caruaru/PE out-2026</t>
        </is>
      </c>
      <c r="C50" s="11" t="n">
        <v>2</v>
      </c>
      <c r="D50" s="11">
        <f>IF(LEFT(E50,2)="Ex","Alta",IF(C50&gt;=3,"Alta",IF(C50=2,"Média","Baixa")))</f>
        <v/>
      </c>
      <c r="E50" s="10" t="inlineStr">
        <is>
          <t>Nunca expôs</t>
        </is>
      </c>
      <c r="F50" s="10" t="inlineStr"/>
      <c r="G50" s="10" t="inlineStr"/>
      <c r="H50" s="10" t="inlineStr"/>
      <c r="I50" s="10" t="inlineStr"/>
      <c r="J50" s="10" t="inlineStr"/>
      <c r="K50" s="10" t="inlineStr">
        <is>
          <t>showutil.com.br (logos "Expositores da última edição")</t>
        </is>
      </c>
      <c r="L50" s="12" t="inlineStr"/>
      <c r="M50" s="12" t="inlineStr">
        <is>
          <t>A contatar</t>
        </is>
      </c>
      <c r="N50" s="13" t="n"/>
      <c r="O50" s="12" t="inlineStr"/>
    </row>
    <row r="51">
      <c r="A51" s="9" t="inlineStr">
        <is>
          <t>Plasticos Rodrigues</t>
        </is>
      </c>
      <c r="B51" s="10" t="inlineStr">
        <is>
          <t>Caruaru/PE mar-2026; São Luís/MA mar-2026</t>
        </is>
      </c>
      <c r="C51" s="11" t="n">
        <v>2</v>
      </c>
      <c r="D51" s="11">
        <f>IF(LEFT(E51,2)="Ex","Alta",IF(C51&gt;=3,"Alta",IF(C51=2,"Média","Baixa")))</f>
        <v/>
      </c>
      <c r="E51" s="10" t="inlineStr">
        <is>
          <t>Nunca expôs</t>
        </is>
      </c>
      <c r="F51" s="10" t="inlineStr"/>
      <c r="G51" s="10" t="inlineStr"/>
      <c r="H51" s="10" t="inlineStr"/>
      <c r="I51" s="10" t="inlineStr"/>
      <c r="J51" s="10" t="inlineStr"/>
      <c r="K51" s="10" t="inlineStr">
        <is>
          <t>showutil.com.br (logos "Expositores da última edição")</t>
        </is>
      </c>
      <c r="L51" s="12" t="inlineStr"/>
      <c r="M51" s="12" t="inlineStr">
        <is>
          <t>A contatar</t>
        </is>
      </c>
      <c r="N51" s="13" t="n"/>
      <c r="O51" s="12" t="inlineStr"/>
    </row>
    <row r="52">
      <c r="A52" s="9" t="inlineStr">
        <is>
          <t>Plastsonho</t>
        </is>
      </c>
      <c r="B52" s="10" t="inlineStr">
        <is>
          <t>Caruaru/PE mar-2026; Feira de Santana/BA mar-2026</t>
        </is>
      </c>
      <c r="C52" s="11" t="n">
        <v>2</v>
      </c>
      <c r="D52" s="11">
        <f>IF(LEFT(E52,2)="Ex","Alta",IF(C52&gt;=3,"Alta",IF(C52=2,"Média","Baixa")))</f>
        <v/>
      </c>
      <c r="E52" s="10" t="inlineStr">
        <is>
          <t>Nunca expôs</t>
        </is>
      </c>
      <c r="F52" s="10" t="inlineStr"/>
      <c r="G52" s="10" t="inlineStr"/>
      <c r="H52" s="10" t="inlineStr"/>
      <c r="I52" s="10" t="inlineStr"/>
      <c r="J52" s="10" t="inlineStr"/>
      <c r="K52" s="10" t="inlineStr">
        <is>
          <t>showutil.com.br (logos "Expositores da última edição")</t>
        </is>
      </c>
      <c r="L52" s="12" t="inlineStr"/>
      <c r="M52" s="12" t="inlineStr">
        <is>
          <t>A contatar</t>
        </is>
      </c>
      <c r="N52" s="13" t="n"/>
      <c r="O52" s="12" t="inlineStr"/>
    </row>
    <row r="53">
      <c r="A53" s="9" t="inlineStr">
        <is>
          <t>Plastutti</t>
        </is>
      </c>
      <c r="B53" s="10" t="inlineStr">
        <is>
          <t>Caruaru/PE mar-2026; Caruaru/PE out-2026</t>
        </is>
      </c>
      <c r="C53" s="11" t="n">
        <v>2</v>
      </c>
      <c r="D53" s="11">
        <f>IF(LEFT(E53,2)="Ex","Alta",IF(C53&gt;=3,"Alta",IF(C53=2,"Média","Baixa")))</f>
        <v/>
      </c>
      <c r="E53" s="10" t="inlineStr">
        <is>
          <t>Nunca expôs</t>
        </is>
      </c>
      <c r="F53" s="10" t="inlineStr">
        <is>
          <t>UD plásticas (grupo Plasútil)</t>
        </is>
      </c>
      <c r="G53" s="10" t="inlineStr"/>
      <c r="H53" s="10" t="inlineStr">
        <is>
          <t>https://www.plastutti.com.br</t>
        </is>
      </c>
      <c r="I53" s="10" t="inlineStr"/>
      <c r="J53" s="10" t="inlineStr"/>
      <c r="K53" s="10" t="inlineStr">
        <is>
          <t>showutil.com.br (logos "Expositores da última edição")</t>
        </is>
      </c>
      <c r="L53" s="12" t="inlineStr"/>
      <c r="M53" s="12" t="inlineStr">
        <is>
          <t>A contatar</t>
        </is>
      </c>
      <c r="N53" s="13" t="n"/>
      <c r="O53" s="12" t="inlineStr"/>
    </row>
    <row r="54">
      <c r="A54" s="9" t="inlineStr">
        <is>
          <t>Roque</t>
        </is>
      </c>
      <c r="B54" s="10" t="inlineStr">
        <is>
          <t>Caruaru/PE mar-2026; Caruaru/PE out-2026</t>
        </is>
      </c>
      <c r="C54" s="11" t="n">
        <v>2</v>
      </c>
      <c r="D54" s="11">
        <f>IF(LEFT(E54,2)="Ex","Alta",IF(C54&gt;=3,"Alta",IF(C54=2,"Média","Baixa")))</f>
        <v/>
      </c>
      <c r="E54" s="10" t="inlineStr">
        <is>
          <t>Nunca expôs</t>
        </is>
      </c>
      <c r="F54" s="10" t="inlineStr"/>
      <c r="G54" s="10" t="inlineStr"/>
      <c r="H54" s="10" t="inlineStr"/>
      <c r="I54" s="10" t="inlineStr"/>
      <c r="J54" s="10" t="inlineStr"/>
      <c r="K54" s="10" t="inlineStr">
        <is>
          <t>showutil.com.br (logos "Expositores da última edição")</t>
        </is>
      </c>
      <c r="L54" s="12" t="inlineStr"/>
      <c r="M54" s="12" t="inlineStr">
        <is>
          <t>A contatar</t>
        </is>
      </c>
      <c r="N54" s="13" t="n"/>
      <c r="O54" s="12" t="inlineStr"/>
    </row>
    <row r="55">
      <c r="A55" s="9" t="inlineStr">
        <is>
          <t>Soprano</t>
        </is>
      </c>
      <c r="B55" s="10" t="inlineStr">
        <is>
          <t>Caruaru/PE mar-2026; Caruaru/PE out-2026</t>
        </is>
      </c>
      <c r="C55" s="11" t="n">
        <v>2</v>
      </c>
      <c r="D55" s="11">
        <f>IF(LEFT(E55,2)="Ex","Alta",IF(C55&gt;=3,"Alta",IF(C55=2,"Média","Baixa")))</f>
        <v/>
      </c>
      <c r="E55" s="10" t="inlineStr">
        <is>
          <t>Nunca expôs</t>
        </is>
      </c>
      <c r="F55" s="10" t="inlineStr">
        <is>
          <t>UD (banho, lixeira, pia) e térmicos</t>
        </is>
      </c>
      <c r="G55" s="10" t="inlineStr">
        <is>
          <t>Farroupilha/RS</t>
        </is>
      </c>
      <c r="H55" s="10" t="inlineStr">
        <is>
          <t>https://www.soprano.com.br</t>
        </is>
      </c>
      <c r="I55" s="10" t="inlineStr"/>
      <c r="J55" s="10" t="inlineStr"/>
      <c r="K55" s="10" t="inlineStr">
        <is>
          <t>showutil.com.br (logos "Expositores da última edição")</t>
        </is>
      </c>
      <c r="L55" s="12" t="inlineStr"/>
      <c r="M55" s="12" t="inlineStr">
        <is>
          <t>A contatar</t>
        </is>
      </c>
      <c r="N55" s="13" t="n"/>
      <c r="O55" s="12" t="inlineStr"/>
    </row>
    <row r="56">
      <c r="A56" s="9" t="inlineStr">
        <is>
          <t>Todolivro</t>
        </is>
      </c>
      <c r="B56" s="10" t="inlineStr">
        <is>
          <t>Feira de Santana/BA mar-2026; São Luís/MA mar-2026</t>
        </is>
      </c>
      <c r="C56" s="11" t="n">
        <v>2</v>
      </c>
      <c r="D56" s="11">
        <f>IF(LEFT(E56,2)="Ex","Alta",IF(C56&gt;=3,"Alta",IF(C56=2,"Média","Baixa")))</f>
        <v/>
      </c>
      <c r="E56" s="10" t="inlineStr">
        <is>
          <t>Nunca expôs</t>
        </is>
      </c>
      <c r="F56" s="10" t="inlineStr">
        <is>
          <t>Livros infantis / papelaria</t>
        </is>
      </c>
      <c r="G56" s="10" t="inlineStr">
        <is>
          <t>Gaspar/SC</t>
        </is>
      </c>
      <c r="H56" s="10" t="inlineStr">
        <is>
          <t>https://www.todolivro.com.br</t>
        </is>
      </c>
      <c r="I56" s="10" t="inlineStr">
        <is>
          <t>instagram.com/todolivro</t>
        </is>
      </c>
      <c r="J56" s="10" t="inlineStr">
        <is>
          <t>(47) 3221-2235</t>
        </is>
      </c>
      <c r="K56" s="10" t="inlineStr">
        <is>
          <t>showutil.com.br (logos "Expositores da última edição")</t>
        </is>
      </c>
      <c r="L56" s="12" t="inlineStr"/>
      <c r="M56" s="12" t="inlineStr">
        <is>
          <t>A contatar</t>
        </is>
      </c>
      <c r="N56" s="13" t="n"/>
      <c r="O56" s="12" t="inlineStr"/>
    </row>
    <row r="57">
      <c r="A57" s="9" t="inlineStr">
        <is>
          <t>Top Play</t>
        </is>
      </c>
      <c r="B57" s="10" t="inlineStr">
        <is>
          <t>Caruaru/PE mar-2026; Caruaru/PE out-2026</t>
        </is>
      </c>
      <c r="C57" s="11" t="n">
        <v>2</v>
      </c>
      <c r="D57" s="11">
        <f>IF(LEFT(E57,2)="Ex","Alta",IF(C57&gt;=3,"Alta",IF(C57=2,"Média","Baixa")))</f>
        <v/>
      </c>
      <c r="E57" s="10" t="inlineStr">
        <is>
          <t>Nunca expôs</t>
        </is>
      </c>
      <c r="F57" s="10" t="inlineStr"/>
      <c r="G57" s="10" t="inlineStr"/>
      <c r="H57" s="10" t="inlineStr"/>
      <c r="I57" s="10" t="inlineStr"/>
      <c r="J57" s="10" t="inlineStr"/>
      <c r="K57" s="10" t="inlineStr">
        <is>
          <t>showutil.com.br (logos "Expositores da última edição")</t>
        </is>
      </c>
      <c r="L57" s="12" t="inlineStr"/>
      <c r="M57" s="12" t="inlineStr">
        <is>
          <t>A contatar</t>
        </is>
      </c>
      <c r="N57" s="13" t="n"/>
      <c r="O57" s="12" t="inlineStr"/>
    </row>
    <row r="58">
      <c r="A58" s="9" t="inlineStr">
        <is>
          <t>Tudo Variedade</t>
        </is>
      </c>
      <c r="B58" s="10" t="inlineStr">
        <is>
          <t>Caruaru/PE mar-2026; Caruaru/PE out-2026</t>
        </is>
      </c>
      <c r="C58" s="11" t="n">
        <v>2</v>
      </c>
      <c r="D58" s="11">
        <f>IF(LEFT(E58,2)="Ex","Alta",IF(C58&gt;=3,"Alta",IF(C58=2,"Média","Baixa")))</f>
        <v/>
      </c>
      <c r="E58" s="10" t="inlineStr">
        <is>
          <t>Nunca expôs</t>
        </is>
      </c>
      <c r="F58" s="10" t="inlineStr"/>
      <c r="G58" s="10" t="inlineStr"/>
      <c r="H58" s="10" t="inlineStr"/>
      <c r="I58" s="10" t="inlineStr"/>
      <c r="J58" s="10" t="inlineStr"/>
      <c r="K58" s="10" t="inlineStr">
        <is>
          <t>showutil.com.br (logos "Expositores da última edição")</t>
        </is>
      </c>
      <c r="L58" s="12" t="inlineStr"/>
      <c r="M58" s="12" t="inlineStr">
        <is>
          <t>A contatar</t>
        </is>
      </c>
      <c r="N58" s="13" t="n"/>
      <c r="O58" s="12" t="inlineStr"/>
    </row>
    <row r="59">
      <c r="A59" s="9" t="inlineStr">
        <is>
          <t>Vitazza</t>
        </is>
      </c>
      <c r="B59" s="10" t="inlineStr">
        <is>
          <t>Caruaru/PE mar-2026; Caruaru/PE out-2026</t>
        </is>
      </c>
      <c r="C59" s="11" t="n">
        <v>2</v>
      </c>
      <c r="D59" s="11">
        <f>IF(LEFT(E59,2)="Ex","Alta",IF(C59&gt;=3,"Alta",IF(C59=2,"Média","Baixa")))</f>
        <v/>
      </c>
      <c r="E59" s="10" t="inlineStr">
        <is>
          <t>Nunca expôs</t>
        </is>
      </c>
      <c r="F59" s="10" t="inlineStr"/>
      <c r="G59" s="10" t="inlineStr"/>
      <c r="H59" s="10" t="inlineStr"/>
      <c r="I59" s="10" t="inlineStr"/>
      <c r="J59" s="10" t="inlineStr"/>
      <c r="K59" s="10" t="inlineStr">
        <is>
          <t>showutil.com.br (logos "Expositores da última edição")</t>
        </is>
      </c>
      <c r="L59" s="12" t="inlineStr"/>
      <c r="M59" s="12" t="inlineStr">
        <is>
          <t>A contatar</t>
        </is>
      </c>
      <c r="N59" s="13" t="n"/>
      <c r="O59" s="12" t="inlineStr"/>
    </row>
    <row r="60">
      <c r="A60" s="9" t="inlineStr">
        <is>
          <t>Zeek</t>
        </is>
      </c>
      <c r="B60" s="10" t="inlineStr">
        <is>
          <t>Caruaru/PE mar-2026; Caruaru/PE out-2026</t>
        </is>
      </c>
      <c r="C60" s="11" t="n">
        <v>2</v>
      </c>
      <c r="D60" s="11">
        <f>IF(LEFT(E60,2)="Ex","Alta",IF(C60&gt;=3,"Alta",IF(C60=2,"Média","Baixa")))</f>
        <v/>
      </c>
      <c r="E60" s="10" t="inlineStr">
        <is>
          <t>Nunca expôs</t>
        </is>
      </c>
      <c r="F60" s="10" t="inlineStr">
        <is>
          <t>UD plásticas (cabides, cozinha, banheiro, lavanderia)</t>
        </is>
      </c>
      <c r="G60" s="10" t="inlineStr">
        <is>
          <t>Rio de Janeiro/RJ</t>
        </is>
      </c>
      <c r="H60" s="10" t="inlineStr">
        <is>
          <t>https://www.zeek.com.br</t>
        </is>
      </c>
      <c r="I60" s="10" t="inlineStr">
        <is>
          <t>instagram.com/zeek.ud</t>
        </is>
      </c>
      <c r="J60" s="10" t="inlineStr">
        <is>
          <t>(21) 2426-1230 / WhatsApp (21) 99422-6744</t>
        </is>
      </c>
      <c r="K60" s="10" t="inlineStr">
        <is>
          <t>showutil.com.br (logos "Expositores da última edição")</t>
        </is>
      </c>
      <c r="L60" s="12" t="inlineStr"/>
      <c r="M60" s="12" t="inlineStr">
        <is>
          <t>A contatar</t>
        </is>
      </c>
      <c r="N60" s="13" t="n"/>
      <c r="O60" s="12" t="inlineStr"/>
    </row>
    <row r="61">
      <c r="A61" s="9" t="inlineStr">
        <is>
          <t>2W Import</t>
        </is>
      </c>
      <c r="B61" s="10" t="inlineStr">
        <is>
          <t>Caruaru/PE mar-2026</t>
        </is>
      </c>
      <c r="C61" s="11" t="n">
        <v>1</v>
      </c>
      <c r="D61" s="11">
        <f>IF(LEFT(E61,2)="Ex","Alta",IF(C61&gt;=3,"Alta",IF(C61=2,"Média","Baixa")))</f>
        <v/>
      </c>
      <c r="E61" s="10" t="inlineStr">
        <is>
          <t>Nunca expôs</t>
        </is>
      </c>
      <c r="F61" s="10" t="inlineStr"/>
      <c r="G61" s="10" t="inlineStr"/>
      <c r="H61" s="10" t="inlineStr"/>
      <c r="I61" s="10" t="inlineStr"/>
      <c r="J61" s="10" t="inlineStr"/>
      <c r="K61" s="10" t="inlineStr">
        <is>
          <t>showutil.com.br (logos "Expositores da última edição")</t>
        </is>
      </c>
      <c r="L61" s="12" t="inlineStr"/>
      <c r="M61" s="12" t="inlineStr">
        <is>
          <t>A contatar</t>
        </is>
      </c>
      <c r="N61" s="13" t="n"/>
      <c r="O61" s="12" t="inlineStr"/>
    </row>
    <row r="62">
      <c r="A62" s="9" t="inlineStr">
        <is>
          <t>99 Toys</t>
        </is>
      </c>
      <c r="B62" s="10" t="inlineStr">
        <is>
          <t>Caruaru/PE out-2026</t>
        </is>
      </c>
      <c r="C62" s="11" t="n">
        <v>1</v>
      </c>
      <c r="D62" s="11">
        <f>IF(LEFT(E62,2)="Ex","Alta",IF(C62&gt;=3,"Alta",IF(C62=2,"Média","Baixa")))</f>
        <v/>
      </c>
      <c r="E62" s="10" t="inlineStr">
        <is>
          <t>Nunca expôs</t>
        </is>
      </c>
      <c r="F62" s="10" t="inlineStr">
        <is>
          <t>Brinquedos (importadora)</t>
        </is>
      </c>
      <c r="G62" s="10" t="inlineStr">
        <is>
          <t>São Paulo/SP</t>
        </is>
      </c>
      <c r="H62" s="10" t="inlineStr">
        <is>
          <t>http://www.99.toys</t>
        </is>
      </c>
      <c r="I62" s="10" t="inlineStr">
        <is>
          <t>instagram.com/99toysoficial</t>
        </is>
      </c>
      <c r="J62" s="10" t="inlineStr">
        <is>
          <t>(11) 3326-7098 / WhatsApp (11) 99915-3640</t>
        </is>
      </c>
      <c r="K62" s="10" t="inlineStr">
        <is>
          <t>showutil.com.br (logos "Expositores da última edição")</t>
        </is>
      </c>
      <c r="L62" s="12" t="inlineStr"/>
      <c r="M62" s="12" t="inlineStr">
        <is>
          <t>A contatar</t>
        </is>
      </c>
      <c r="N62" s="13" t="n"/>
      <c r="O62" s="12" t="inlineStr"/>
    </row>
    <row r="63">
      <c r="A63" s="9" t="inlineStr">
        <is>
          <t>Alegrete</t>
        </is>
      </c>
      <c r="B63" s="10" t="inlineStr">
        <is>
          <t>Caruaru/PE out-2026</t>
        </is>
      </c>
      <c r="C63" s="11" t="n">
        <v>1</v>
      </c>
      <c r="D63" s="11">
        <f>IF(LEFT(E63,2)="Ex","Alta",IF(C63&gt;=3,"Alta",IF(C63=2,"Média","Baixa")))</f>
        <v/>
      </c>
      <c r="E63" s="10" t="inlineStr">
        <is>
          <t>Nunca expôs</t>
        </is>
      </c>
      <c r="F63" s="10" t="inlineStr">
        <is>
          <t>UD em alumínio (indústria)</t>
        </is>
      </c>
      <c r="G63" s="10" t="inlineStr">
        <is>
          <t>Ferraz de Vasconcelos/SP</t>
        </is>
      </c>
      <c r="H63" s="10" t="inlineStr">
        <is>
          <t>https://aluminioalegrete.com.br</t>
        </is>
      </c>
      <c r="I63" s="10" t="inlineStr">
        <is>
          <t>instagram.com/alegreteoficial</t>
        </is>
      </c>
      <c r="J63" s="10" t="inlineStr">
        <is>
          <t>(11) 4674-1771 / WhatsApp (11) 91095-2907</t>
        </is>
      </c>
      <c r="K63" s="10" t="inlineStr">
        <is>
          <t>showutil.com.br (logos "Expositores da última edição")</t>
        </is>
      </c>
      <c r="L63" s="12" t="inlineStr"/>
      <c r="M63" s="12" t="inlineStr">
        <is>
          <t>A contatar</t>
        </is>
      </c>
      <c r="N63" s="13" t="n"/>
      <c r="O63" s="12" t="inlineStr"/>
    </row>
    <row r="64">
      <c r="A64" s="9" t="inlineStr">
        <is>
          <t>Alumínio Rocha</t>
        </is>
      </c>
      <c r="B64" s="10" t="inlineStr">
        <is>
          <t>Caruaru/PE out-2026</t>
        </is>
      </c>
      <c r="C64" s="11" t="n">
        <v>1</v>
      </c>
      <c r="D64" s="11">
        <f>IF(LEFT(E64,2)="Ex","Alta",IF(C64&gt;=3,"Alta",IF(C64=2,"Média","Baixa")))</f>
        <v/>
      </c>
      <c r="E64" s="10" t="inlineStr">
        <is>
          <t>Nunca expôs</t>
        </is>
      </c>
      <c r="F64" s="10" t="inlineStr"/>
      <c r="G64" s="10" t="inlineStr"/>
      <c r="H64" s="10" t="inlineStr"/>
      <c r="I64" s="10" t="inlineStr"/>
      <c r="J64" s="10" t="inlineStr"/>
      <c r="K64" s="10" t="inlineStr">
        <is>
          <t>showutil.com.br (logos "Expositores da última edição")</t>
        </is>
      </c>
      <c r="L64" s="12" t="inlineStr"/>
      <c r="M64" s="12" t="inlineStr">
        <is>
          <t>A contatar</t>
        </is>
      </c>
      <c r="N64" s="13" t="n"/>
      <c r="O64" s="12" t="inlineStr"/>
    </row>
    <row r="65">
      <c r="A65" s="9" t="inlineStr">
        <is>
          <t>Aquarela</t>
        </is>
      </c>
      <c r="B65" s="10" t="inlineStr">
        <is>
          <t>Caruaru/PE out-2026</t>
        </is>
      </c>
      <c r="C65" s="11" t="n">
        <v>1</v>
      </c>
      <c r="D65" s="11">
        <f>IF(LEFT(E65,2)="Ex","Alta",IF(C65&gt;=3,"Alta",IF(C65=2,"Média","Baixa")))</f>
        <v/>
      </c>
      <c r="E65" s="10" t="inlineStr">
        <is>
          <t>Nunca expôs</t>
        </is>
      </c>
      <c r="F65" s="10" t="inlineStr"/>
      <c r="G65" s="10" t="inlineStr"/>
      <c r="H65" s="10" t="inlineStr"/>
      <c r="I65" s="10" t="inlineStr"/>
      <c r="J65" s="10" t="inlineStr"/>
      <c r="K65" s="10" t="inlineStr">
        <is>
          <t>showutil.com.br (logos "Expositores da última edição")</t>
        </is>
      </c>
      <c r="L65" s="12" t="inlineStr"/>
      <c r="M65" s="12" t="inlineStr">
        <is>
          <t>A contatar</t>
        </is>
      </c>
      <c r="N65" s="13" t="n"/>
      <c r="O65" s="12" t="inlineStr"/>
    </row>
    <row r="66">
      <c r="A66" s="9" t="inlineStr">
        <is>
          <t>Aztex</t>
        </is>
      </c>
      <c r="B66" s="10" t="inlineStr">
        <is>
          <t>Caruaru/PE out-2026</t>
        </is>
      </c>
      <c r="C66" s="11" t="n">
        <v>1</v>
      </c>
      <c r="D66" s="11">
        <f>IF(LEFT(E66,2)="Ex","Alta",IF(C66&gt;=3,"Alta",IF(C66=2,"Média","Baixa")))</f>
        <v/>
      </c>
      <c r="E66" s="10" t="inlineStr">
        <is>
          <t>Nunca expôs</t>
        </is>
      </c>
      <c r="F66" s="10" t="inlineStr">
        <is>
          <t>Importadora/atacado — cama, mesa, banho, decoração, redes</t>
        </is>
      </c>
      <c r="G66" s="10" t="inlineStr">
        <is>
          <t>Serra/ES</t>
        </is>
      </c>
      <c r="H66" s="10" t="inlineStr">
        <is>
          <t>https://aztex.link</t>
        </is>
      </c>
      <c r="I66" s="10" t="inlineStr"/>
      <c r="J66" s="10" t="inlineStr">
        <is>
          <t>(22) 99828-9838</t>
        </is>
      </c>
      <c r="K66" s="10" t="inlineStr">
        <is>
          <t>showutil.com.br (logos "Expositores da última edição")</t>
        </is>
      </c>
      <c r="L66" s="12" t="inlineStr"/>
      <c r="M66" s="12" t="inlineStr">
        <is>
          <t>A contatar</t>
        </is>
      </c>
      <c r="N66" s="13" t="n"/>
      <c r="O66" s="12" t="inlineStr"/>
    </row>
    <row r="67">
      <c r="A67" s="9" t="inlineStr">
        <is>
          <t>Baag</t>
        </is>
      </c>
      <c r="B67" s="10" t="inlineStr">
        <is>
          <t>Caruaru/PE out-2026</t>
        </is>
      </c>
      <c r="C67" s="11" t="n">
        <v>1</v>
      </c>
      <c r="D67" s="11">
        <f>IF(LEFT(E67,2)="Ex","Alta",IF(C67&gt;=3,"Alta",IF(C67=2,"Média","Baixa")))</f>
        <v/>
      </c>
      <c r="E67" s="10" t="inlineStr">
        <is>
          <t>Nunca expôs</t>
        </is>
      </c>
      <c r="F67" s="10" t="inlineStr"/>
      <c r="G67" s="10" t="inlineStr"/>
      <c r="H67" s="10" t="inlineStr"/>
      <c r="I67" s="10" t="inlineStr"/>
      <c r="J67" s="10" t="inlineStr"/>
      <c r="K67" s="10" t="inlineStr">
        <is>
          <t>showutil.com.br (logos "Expositores da última edição")</t>
        </is>
      </c>
      <c r="L67" s="12" t="inlineStr"/>
      <c r="M67" s="12" t="inlineStr">
        <is>
          <t>A contatar</t>
        </is>
      </c>
      <c r="N67" s="13" t="n"/>
      <c r="O67" s="12" t="inlineStr"/>
    </row>
    <row r="68">
      <c r="A68" s="9" t="inlineStr">
        <is>
          <t>Bambe</t>
        </is>
      </c>
      <c r="B68" s="10" t="inlineStr">
        <is>
          <t>Feira de Santana/BA out-2026</t>
        </is>
      </c>
      <c r="C68" s="11" t="n">
        <v>1</v>
      </c>
      <c r="D68" s="11">
        <f>IF(LEFT(E68,2)="Ex","Alta",IF(C68&gt;=3,"Alta",IF(C68=2,"Média","Baixa")))</f>
        <v/>
      </c>
      <c r="E68" s="10" t="inlineStr">
        <is>
          <t>Nunca expôs</t>
        </is>
      </c>
      <c r="F68" s="10" t="inlineStr"/>
      <c r="G68" s="10" t="inlineStr"/>
      <c r="H68" s="10" t="inlineStr"/>
      <c r="I68" s="10" t="inlineStr"/>
      <c r="J68" s="10" t="inlineStr"/>
      <c r="K68" s="10" t="inlineStr">
        <is>
          <t>showutil.com.br (logos "Expositores da última edição")</t>
        </is>
      </c>
      <c r="L68" s="12" t="inlineStr"/>
      <c r="M68" s="12" t="inlineStr">
        <is>
          <t>A contatar</t>
        </is>
      </c>
      <c r="N68" s="13" t="n"/>
      <c r="O68" s="12" t="inlineStr"/>
    </row>
    <row r="69">
      <c r="A69" s="9" t="inlineStr">
        <is>
          <t>Bio Instinto</t>
        </is>
      </c>
      <c r="B69" s="10" t="inlineStr">
        <is>
          <t>Caruaru/PE out-2026</t>
        </is>
      </c>
      <c r="C69" s="11" t="n">
        <v>1</v>
      </c>
      <c r="D69" s="11">
        <f>IF(LEFT(E69,2)="Ex","Alta",IF(C69&gt;=3,"Alta",IF(C69=2,"Média","Baixa")))</f>
        <v/>
      </c>
      <c r="E69" s="10" t="inlineStr">
        <is>
          <t>Nunca expôs</t>
        </is>
      </c>
      <c r="F69" s="10" t="inlineStr">
        <is>
          <t>Cosméticos / higiene / perfumaria</t>
        </is>
      </c>
      <c r="G69" s="10" t="inlineStr">
        <is>
          <t>Anápolis/GO</t>
        </is>
      </c>
      <c r="H69" s="10" t="inlineStr">
        <is>
          <t>https://bioinstinto.com.br</t>
        </is>
      </c>
      <c r="I69" s="10" t="inlineStr">
        <is>
          <t>instagram.com/bioinstinto</t>
        </is>
      </c>
      <c r="J69" s="10" t="inlineStr">
        <is>
          <t>(62) 3360-0123</t>
        </is>
      </c>
      <c r="K69" s="10" t="inlineStr">
        <is>
          <t>showutil.com.br (logos "Expositores da última edição")</t>
        </is>
      </c>
      <c r="L69" s="12" t="inlineStr"/>
      <c r="M69" s="12" t="inlineStr">
        <is>
          <t>A contatar</t>
        </is>
      </c>
      <c r="N69" s="13" t="n"/>
      <c r="O69" s="12" t="inlineStr"/>
    </row>
    <row r="70">
      <c r="A70" s="9" t="inlineStr">
        <is>
          <t>Bio Lar</t>
        </is>
      </c>
      <c r="B70" s="10" t="inlineStr">
        <is>
          <t>Caruaru/PE out-2026</t>
        </is>
      </c>
      <c r="C70" s="11" t="n">
        <v>1</v>
      </c>
      <c r="D70" s="11">
        <f>IF(LEFT(E70,2)="Ex","Alta",IF(C70&gt;=3,"Alta",IF(C70=2,"Média","Baixa")))</f>
        <v/>
      </c>
      <c r="E70" s="10" t="inlineStr">
        <is>
          <t>Nunca expôs</t>
        </is>
      </c>
      <c r="F70" s="10" t="inlineStr"/>
      <c r="G70" s="10" t="inlineStr"/>
      <c r="H70" s="10" t="inlineStr"/>
      <c r="I70" s="10" t="inlineStr"/>
      <c r="J70" s="10" t="inlineStr"/>
      <c r="K70" s="10" t="inlineStr">
        <is>
          <t>showutil.com.br (logos "Expositores da última edição")</t>
        </is>
      </c>
      <c r="L70" s="12" t="inlineStr"/>
      <c r="M70" s="12" t="inlineStr">
        <is>
          <t>A contatar</t>
        </is>
      </c>
      <c r="N70" s="13" t="n"/>
      <c r="O70" s="12" t="inlineStr"/>
    </row>
    <row r="71">
      <c r="A71" s="9" t="inlineStr">
        <is>
          <t>Bs Toys</t>
        </is>
      </c>
      <c r="B71" s="10" t="inlineStr">
        <is>
          <t>Showbrinq Fortaleza/CE jul-2026</t>
        </is>
      </c>
      <c r="C71" s="11" t="n">
        <v>1</v>
      </c>
      <c r="D71" s="11">
        <f>IF(LEFT(E71,2)="Ex","Alta",IF(C71&gt;=3,"Alta",IF(C71=2,"Média","Baixa")))</f>
        <v/>
      </c>
      <c r="E71" s="10" t="inlineStr">
        <is>
          <t>Nunca expôs</t>
        </is>
      </c>
      <c r="F71" s="10" t="inlineStr">
        <is>
          <t>Brinquedos</t>
        </is>
      </c>
      <c r="G71" s="10" t="inlineStr"/>
      <c r="H71" s="10" t="inlineStr"/>
      <c r="I71" s="10" t="inlineStr"/>
      <c r="J71" s="10" t="inlineStr"/>
      <c r="K71" s="10" t="inlineStr">
        <is>
          <t>https://www.facebook.com/bstoysbrinquedos/videos/2002465283728895/</t>
        </is>
      </c>
      <c r="L71" s="12" t="inlineStr"/>
      <c r="M71" s="12" t="inlineStr">
        <is>
          <t>A contatar</t>
        </is>
      </c>
      <c r="N71" s="13" t="n"/>
      <c r="O71" s="12" t="inlineStr"/>
    </row>
    <row r="72">
      <c r="A72" s="9" t="inlineStr">
        <is>
          <t>Casa Freitas</t>
        </is>
      </c>
      <c r="B72" s="10" t="inlineStr">
        <is>
          <t>Caruaru/PE mar-2026</t>
        </is>
      </c>
      <c r="C72" s="11" t="n">
        <v>1</v>
      </c>
      <c r="D72" s="11">
        <f>IF(LEFT(E72,2)="Ex","Alta",IF(C72&gt;=3,"Alta",IF(C72=2,"Média","Baixa")))</f>
        <v/>
      </c>
      <c r="E72" s="10" t="inlineStr">
        <is>
          <t>Nunca expôs</t>
        </is>
      </c>
      <c r="F72" s="10" t="inlineStr"/>
      <c r="G72" s="10" t="inlineStr"/>
      <c r="H72" s="10" t="inlineStr"/>
      <c r="I72" s="10" t="inlineStr"/>
      <c r="J72" s="10" t="inlineStr"/>
      <c r="K72" s="10" t="inlineStr">
        <is>
          <t>showutil.com.br (logos "Expositores da última edição")</t>
        </is>
      </c>
      <c r="L72" s="12" t="inlineStr"/>
      <c r="M72" s="12" t="inlineStr">
        <is>
          <t>A contatar</t>
        </is>
      </c>
      <c r="N72" s="13" t="n"/>
      <c r="O72" s="12" t="inlineStr"/>
    </row>
    <row r="73">
      <c r="A73" s="9" t="inlineStr">
        <is>
          <t>Cortex</t>
        </is>
      </c>
      <c r="B73" s="10" t="inlineStr">
        <is>
          <t>Caruaru/PE mar-2026</t>
        </is>
      </c>
      <c r="C73" s="11" t="n">
        <v>1</v>
      </c>
      <c r="D73" s="11">
        <f>IF(LEFT(E73,2)="Ex","Alta",IF(C73&gt;=3,"Alta",IF(C73=2,"Média","Baixa")))</f>
        <v/>
      </c>
      <c r="E73" s="10" t="inlineStr">
        <is>
          <t>Nunca expôs</t>
        </is>
      </c>
      <c r="F73" s="10" t="inlineStr"/>
      <c r="G73" s="10" t="inlineStr"/>
      <c r="H73" s="10" t="inlineStr"/>
      <c r="I73" s="10" t="inlineStr"/>
      <c r="J73" s="10" t="inlineStr"/>
      <c r="K73" s="10" t="inlineStr">
        <is>
          <t>showutil.com.br (logos "Expositores da última edição")</t>
        </is>
      </c>
      <c r="L73" s="12" t="inlineStr"/>
      <c r="M73" s="12" t="inlineStr">
        <is>
          <t>A contatar</t>
        </is>
      </c>
      <c r="N73" s="13" t="n"/>
      <c r="O73" s="12" t="inlineStr"/>
    </row>
    <row r="74">
      <c r="A74" s="9" t="inlineStr">
        <is>
          <t>Cotiplas</t>
        </is>
      </c>
      <c r="B74" s="10" t="inlineStr">
        <is>
          <t>Showbrinq Feira de Santana/BA jul-2026</t>
        </is>
      </c>
      <c r="C74" s="11" t="n">
        <v>1</v>
      </c>
      <c r="D74" s="11">
        <f>IF(LEFT(E74,2)="Ex","Alta",IF(C74&gt;=3,"Alta",IF(C74=2,"Média","Baixa")))</f>
        <v/>
      </c>
      <c r="E74" s="10" t="inlineStr">
        <is>
          <t>Nunca expôs</t>
        </is>
      </c>
      <c r="F74" s="10" t="inlineStr">
        <is>
          <t>Brinquedos</t>
        </is>
      </c>
      <c r="G74" s="10" t="inlineStr"/>
      <c r="H74" s="10" t="inlineStr"/>
      <c r="I74" s="10" t="inlineStr"/>
      <c r="J74" s="10" t="inlineStr"/>
      <c r="K74" s="10" t="inlineStr">
        <is>
          <t>https://www.instagram.com/p/Da_XKaGym33/</t>
        </is>
      </c>
      <c r="L74" s="12" t="inlineStr"/>
      <c r="M74" s="12" t="inlineStr">
        <is>
          <t>A contatar</t>
        </is>
      </c>
      <c r="N74" s="13" t="n"/>
      <c r="O74" s="12" t="inlineStr"/>
    </row>
    <row r="75">
      <c r="A75" s="9" t="inlineStr">
        <is>
          <t>Dekacron</t>
        </is>
      </c>
      <c r="B75" s="10" t="inlineStr">
        <is>
          <t>Caruaru/PE out-2026</t>
        </is>
      </c>
      <c r="C75" s="11" t="n">
        <v>1</v>
      </c>
      <c r="D75" s="11">
        <f>IF(LEFT(E75,2)="Ex","Alta",IF(C75&gt;=3,"Alta",IF(C75=2,"Média","Baixa")))</f>
        <v/>
      </c>
      <c r="E75" s="10" t="inlineStr">
        <is>
          <t>Nunca expôs</t>
        </is>
      </c>
      <c r="F75" s="10" t="inlineStr"/>
      <c r="G75" s="10" t="inlineStr"/>
      <c r="H75" s="10" t="inlineStr"/>
      <c r="I75" s="10" t="inlineStr"/>
      <c r="J75" s="10" t="inlineStr"/>
      <c r="K75" s="10" t="inlineStr">
        <is>
          <t>showutil.com.br (logos "Expositores da última edição")</t>
        </is>
      </c>
      <c r="L75" s="12" t="inlineStr"/>
      <c r="M75" s="12" t="inlineStr">
        <is>
          <t>A contatar</t>
        </is>
      </c>
      <c r="N75" s="13" t="n"/>
      <c r="O75" s="12" t="inlineStr"/>
    </row>
    <row r="76">
      <c r="A76" s="9" t="inlineStr">
        <is>
          <t>Delika</t>
        </is>
      </c>
      <c r="B76" s="10" t="inlineStr">
        <is>
          <t>Feira de Santana/BA out-2026</t>
        </is>
      </c>
      <c r="C76" s="11" t="n">
        <v>1</v>
      </c>
      <c r="D76" s="11">
        <f>IF(LEFT(E76,2)="Ex","Alta",IF(C76&gt;=3,"Alta",IF(C76=2,"Média","Baixa")))</f>
        <v/>
      </c>
      <c r="E76" s="10" t="inlineStr">
        <is>
          <t>Nunca expôs</t>
        </is>
      </c>
      <c r="F76" s="10" t="inlineStr"/>
      <c r="G76" s="10" t="inlineStr"/>
      <c r="H76" s="10" t="inlineStr"/>
      <c r="I76" s="10" t="inlineStr"/>
      <c r="J76" s="10" t="inlineStr"/>
      <c r="K76" s="10" t="inlineStr">
        <is>
          <t>showutil.com.br (logos "Expositores da última edição")</t>
        </is>
      </c>
      <c r="L76" s="12" t="inlineStr"/>
      <c r="M76" s="12" t="inlineStr">
        <is>
          <t>A contatar</t>
        </is>
      </c>
      <c r="N76" s="13" t="n"/>
      <c r="O76" s="12" t="inlineStr"/>
    </row>
    <row r="77">
      <c r="A77" s="9" t="inlineStr">
        <is>
          <t>Delipet</t>
        </is>
      </c>
      <c r="B77" s="10" t="inlineStr">
        <is>
          <t>Feira de Santana/BA out-2026</t>
        </is>
      </c>
      <c r="C77" s="11" t="n">
        <v>1</v>
      </c>
      <c r="D77" s="11">
        <f>IF(LEFT(E77,2)="Ex","Alta",IF(C77&gt;=3,"Alta",IF(C77=2,"Média","Baixa")))</f>
        <v/>
      </c>
      <c r="E77" s="10" t="inlineStr">
        <is>
          <t>Nunca expôs</t>
        </is>
      </c>
      <c r="F77" s="10" t="inlineStr"/>
      <c r="G77" s="10" t="inlineStr"/>
      <c r="H77" s="10" t="inlineStr"/>
      <c r="I77" s="10" t="inlineStr"/>
      <c r="J77" s="10" t="inlineStr"/>
      <c r="K77" s="10" t="inlineStr">
        <is>
          <t>showutil.com.br (logos "Expositores da última edição")</t>
        </is>
      </c>
      <c r="L77" s="12" t="inlineStr"/>
      <c r="M77" s="12" t="inlineStr">
        <is>
          <t>A contatar</t>
        </is>
      </c>
      <c r="N77" s="13" t="n"/>
      <c r="O77" s="12" t="inlineStr"/>
    </row>
    <row r="78">
      <c r="A78" s="9" t="inlineStr">
        <is>
          <t>Eap Distribuidora</t>
        </is>
      </c>
      <c r="B78" s="10" t="inlineStr">
        <is>
          <t>Caruaru/PE out-2026</t>
        </is>
      </c>
      <c r="C78" s="11" t="n">
        <v>1</v>
      </c>
      <c r="D78" s="11">
        <f>IF(LEFT(E78,2)="Ex","Alta",IF(C78&gt;=3,"Alta",IF(C78=2,"Média","Baixa")))</f>
        <v/>
      </c>
      <c r="E78" s="10" t="inlineStr">
        <is>
          <t>Nunca expôs</t>
        </is>
      </c>
      <c r="F78" s="10" t="inlineStr"/>
      <c r="G78" s="10" t="inlineStr"/>
      <c r="H78" s="10" t="inlineStr"/>
      <c r="I78" s="10" t="inlineStr"/>
      <c r="J78" s="10" t="inlineStr"/>
      <c r="K78" s="10" t="inlineStr">
        <is>
          <t>showutil.com.br (logos "Expositores da última edição")</t>
        </is>
      </c>
      <c r="L78" s="12" t="inlineStr"/>
      <c r="M78" s="12" t="inlineStr">
        <is>
          <t>A contatar</t>
        </is>
      </c>
      <c r="N78" s="13" t="n"/>
      <c r="O78" s="12" t="inlineStr"/>
    </row>
    <row r="79">
      <c r="A79" s="9" t="inlineStr">
        <is>
          <t>Eether</t>
        </is>
      </c>
      <c r="B79" s="10" t="inlineStr">
        <is>
          <t>Caruaru/PE mar-2026</t>
        </is>
      </c>
      <c r="C79" s="11" t="n">
        <v>1</v>
      </c>
      <c r="D79" s="11">
        <f>IF(LEFT(E79,2)="Ex","Alta",IF(C79&gt;=3,"Alta",IF(C79=2,"Média","Baixa")))</f>
        <v/>
      </c>
      <c r="E79" s="10" t="inlineStr">
        <is>
          <t>Nunca expôs</t>
        </is>
      </c>
      <c r="F79" s="10" t="inlineStr"/>
      <c r="G79" s="10" t="inlineStr"/>
      <c r="H79" s="10" t="inlineStr"/>
      <c r="I79" s="10" t="inlineStr"/>
      <c r="J79" s="10" t="inlineStr"/>
      <c r="K79" s="10" t="inlineStr">
        <is>
          <t>showutil.com.br (logos "Expositores da última edição")</t>
        </is>
      </c>
      <c r="L79" s="12" t="inlineStr"/>
      <c r="M79" s="12" t="inlineStr">
        <is>
          <t>A contatar</t>
        </is>
      </c>
      <c r="N79" s="13" t="n"/>
      <c r="O79" s="12" t="inlineStr"/>
    </row>
    <row r="80">
      <c r="A80" s="9" t="inlineStr">
        <is>
          <t>Eirilar</t>
        </is>
      </c>
      <c r="B80" s="10" t="inlineStr">
        <is>
          <t>Caruaru/PE mar-2026</t>
        </is>
      </c>
      <c r="C80" s="11" t="n">
        <v>1</v>
      </c>
      <c r="D80" s="11">
        <f>IF(LEFT(E80,2)="Ex","Alta",IF(C80&gt;=3,"Alta",IF(C80=2,"Média","Baixa")))</f>
        <v/>
      </c>
      <c r="E80" s="10" t="inlineStr">
        <is>
          <t>Nunca expôs</t>
        </is>
      </c>
      <c r="F80" s="10" t="inlineStr"/>
      <c r="G80" s="10" t="inlineStr"/>
      <c r="H80" s="10" t="inlineStr"/>
      <c r="I80" s="10" t="inlineStr"/>
      <c r="J80" s="10" t="inlineStr"/>
      <c r="K80" s="10" t="inlineStr">
        <is>
          <t>showutil.com.br (logos "Expositores da última edição")</t>
        </is>
      </c>
      <c r="L80" s="12" t="inlineStr"/>
      <c r="M80" s="12" t="inlineStr">
        <is>
          <t>A contatar</t>
        </is>
      </c>
      <c r="N80" s="13" t="n"/>
      <c r="O80" s="12" t="inlineStr"/>
    </row>
    <row r="81">
      <c r="A81" s="9" t="inlineStr">
        <is>
          <t>Embalatrento</t>
        </is>
      </c>
      <c r="B81" s="10" t="inlineStr">
        <is>
          <t>Caruaru/PE mar-2026</t>
        </is>
      </c>
      <c r="C81" s="11" t="n">
        <v>1</v>
      </c>
      <c r="D81" s="11">
        <f>IF(LEFT(E81,2)="Ex","Alta",IF(C81&gt;=3,"Alta",IF(C81=2,"Média","Baixa")))</f>
        <v/>
      </c>
      <c r="E81" s="10" t="inlineStr">
        <is>
          <t>Nunca expôs</t>
        </is>
      </c>
      <c r="F81" s="10" t="inlineStr"/>
      <c r="G81" s="10" t="inlineStr"/>
      <c r="H81" s="10" t="inlineStr"/>
      <c r="I81" s="10" t="inlineStr"/>
      <c r="J81" s="10" t="inlineStr"/>
      <c r="K81" s="10" t="inlineStr">
        <is>
          <t>showutil.com.br (logos "Expositores da última edição")</t>
        </is>
      </c>
      <c r="L81" s="12" t="inlineStr"/>
      <c r="M81" s="12" t="inlineStr">
        <is>
          <t>A contatar</t>
        </is>
      </c>
      <c r="N81" s="13" t="n"/>
      <c r="O81" s="12" t="inlineStr"/>
    </row>
    <row r="82">
      <c r="A82" s="9" t="inlineStr">
        <is>
          <t>Euroquadros</t>
        </is>
      </c>
      <c r="B82" s="10" t="inlineStr">
        <is>
          <t>Caruaru/PE out-2026</t>
        </is>
      </c>
      <c r="C82" s="11" t="n">
        <v>1</v>
      </c>
      <c r="D82" s="11">
        <f>IF(LEFT(E82,2)="Ex","Alta",IF(C82&gt;=3,"Alta",IF(C82=2,"Média","Baixa")))</f>
        <v/>
      </c>
      <c r="E82" s="10" t="inlineStr">
        <is>
          <t>Nunca expôs</t>
        </is>
      </c>
      <c r="F82" s="10" t="inlineStr"/>
      <c r="G82" s="10" t="inlineStr"/>
      <c r="H82" s="10" t="inlineStr"/>
      <c r="I82" s="10" t="inlineStr"/>
      <c r="J82" s="10" t="inlineStr"/>
      <c r="K82" s="10" t="inlineStr">
        <is>
          <t>showutil.com.br (logos "Expositores da última edição")</t>
        </is>
      </c>
      <c r="L82" s="12" t="inlineStr"/>
      <c r="M82" s="12" t="inlineStr">
        <is>
          <t>A contatar</t>
        </is>
      </c>
      <c r="N82" s="13" t="n"/>
      <c r="O82" s="12" t="inlineStr"/>
    </row>
    <row r="83">
      <c r="A83" s="9" t="inlineStr">
        <is>
          <t>Exp</t>
        </is>
      </c>
      <c r="B83" s="10" t="inlineStr">
        <is>
          <t>Caruaru/PE mar-2026</t>
        </is>
      </c>
      <c r="C83" s="11" t="n">
        <v>1</v>
      </c>
      <c r="D83" s="11">
        <f>IF(LEFT(E83,2)="Ex","Alta",IF(C83&gt;=3,"Alta",IF(C83=2,"Média","Baixa")))</f>
        <v/>
      </c>
      <c r="E83" s="10" t="inlineStr">
        <is>
          <t>Nunca expôs</t>
        </is>
      </c>
      <c r="F83" s="10" t="inlineStr"/>
      <c r="G83" s="10" t="inlineStr"/>
      <c r="H83" s="10" t="inlineStr"/>
      <c r="I83" s="10" t="inlineStr"/>
      <c r="J83" s="10" t="inlineStr"/>
      <c r="K83" s="10" t="inlineStr">
        <is>
          <t>showutil.com.br (logos "Expositores da última edição")</t>
        </is>
      </c>
      <c r="L83" s="12" t="inlineStr"/>
      <c r="M83" s="12" t="inlineStr">
        <is>
          <t>A contatar</t>
        </is>
      </c>
      <c r="N83" s="13" t="n"/>
      <c r="O83" s="12" t="inlineStr"/>
    </row>
    <row r="84">
      <c r="A84" s="9" t="inlineStr">
        <is>
          <t>Flash</t>
        </is>
      </c>
      <c r="B84" s="10" t="inlineStr">
        <is>
          <t>Caruaru/PE out-2026</t>
        </is>
      </c>
      <c r="C84" s="11" t="n">
        <v>1</v>
      </c>
      <c r="D84" s="11">
        <f>IF(LEFT(E84,2)="Ex","Alta",IF(C84&gt;=3,"Alta",IF(C84=2,"Média","Baixa")))</f>
        <v/>
      </c>
      <c r="E84" s="10" t="inlineStr">
        <is>
          <t>Nunca expôs</t>
        </is>
      </c>
      <c r="F84" s="10" t="inlineStr"/>
      <c r="G84" s="10" t="inlineStr"/>
      <c r="H84" s="10" t="inlineStr"/>
      <c r="I84" s="10" t="inlineStr"/>
      <c r="J84" s="10" t="inlineStr"/>
      <c r="K84" s="10" t="inlineStr">
        <is>
          <t>showutil.com.br (logos "Expositores da última edição")</t>
        </is>
      </c>
      <c r="L84" s="12" t="inlineStr"/>
      <c r="M84" s="12" t="inlineStr">
        <is>
          <t>A contatar</t>
        </is>
      </c>
      <c r="N84" s="13" t="n"/>
      <c r="O84" s="12" t="inlineStr"/>
    </row>
    <row r="85">
      <c r="A85" s="9" t="inlineStr">
        <is>
          <t>Fratelli</t>
        </is>
      </c>
      <c r="B85" s="10" t="inlineStr">
        <is>
          <t>Caruaru/PE out-2026</t>
        </is>
      </c>
      <c r="C85" s="11" t="n">
        <v>1</v>
      </c>
      <c r="D85" s="11">
        <f>IF(LEFT(E85,2)="Ex","Alta",IF(C85&gt;=3,"Alta",IF(C85=2,"Média","Baixa")))</f>
        <v/>
      </c>
      <c r="E85" s="10" t="inlineStr">
        <is>
          <t>Nunca expôs</t>
        </is>
      </c>
      <c r="F85" s="10" t="inlineStr"/>
      <c r="G85" s="10" t="inlineStr"/>
      <c r="H85" s="10" t="inlineStr"/>
      <c r="I85" s="10" t="inlineStr"/>
      <c r="J85" s="10" t="inlineStr"/>
      <c r="K85" s="10" t="inlineStr">
        <is>
          <t>showutil.com.br (logos "Expositores da última edição")</t>
        </is>
      </c>
      <c r="L85" s="12" t="inlineStr"/>
      <c r="M85" s="12" t="inlineStr">
        <is>
          <t>A contatar</t>
        </is>
      </c>
      <c r="N85" s="13" t="n"/>
      <c r="O85" s="12" t="inlineStr"/>
    </row>
    <row r="86">
      <c r="A86" s="9" t="inlineStr">
        <is>
          <t>Globex</t>
        </is>
      </c>
      <c r="B86" s="10" t="inlineStr">
        <is>
          <t>Caruaru/PE mar-2026</t>
        </is>
      </c>
      <c r="C86" s="11" t="n">
        <v>1</v>
      </c>
      <c r="D86" s="11">
        <f>IF(LEFT(E86,2)="Ex","Alta",IF(C86&gt;=3,"Alta",IF(C86=2,"Média","Baixa")))</f>
        <v/>
      </c>
      <c r="E86" s="10" t="inlineStr">
        <is>
          <t>Nunca expôs</t>
        </is>
      </c>
      <c r="F86" s="10" t="inlineStr"/>
      <c r="G86" s="10" t="inlineStr"/>
      <c r="H86" s="10" t="inlineStr"/>
      <c r="I86" s="10" t="inlineStr"/>
      <c r="J86" s="10" t="inlineStr"/>
      <c r="K86" s="10" t="inlineStr">
        <is>
          <t>showutil.com.br (logos "Expositores da última edição")</t>
        </is>
      </c>
      <c r="L86" s="12" t="inlineStr"/>
      <c r="M86" s="12" t="inlineStr">
        <is>
          <t>A contatar</t>
        </is>
      </c>
      <c r="N86" s="13" t="n"/>
      <c r="O86" s="12" t="inlineStr"/>
    </row>
    <row r="87">
      <c r="A87" s="9" t="inlineStr">
        <is>
          <t>Guda</t>
        </is>
      </c>
      <c r="B87" s="10" t="inlineStr">
        <is>
          <t>Caruaru/PE out-2026</t>
        </is>
      </c>
      <c r="C87" s="11" t="n">
        <v>1</v>
      </c>
      <c r="D87" s="11">
        <f>IF(LEFT(E87,2)="Ex","Alta",IF(C87&gt;=3,"Alta",IF(C87=2,"Média","Baixa")))</f>
        <v/>
      </c>
      <c r="E87" s="10" t="inlineStr">
        <is>
          <t>Nunca expôs</t>
        </is>
      </c>
      <c r="F87" s="10" t="inlineStr"/>
      <c r="G87" s="10" t="inlineStr"/>
      <c r="H87" s="10" t="inlineStr"/>
      <c r="I87" s="10" t="inlineStr"/>
      <c r="J87" s="10" t="inlineStr"/>
      <c r="K87" s="10" t="inlineStr">
        <is>
          <t>showutil.com.br (logos "Expositores da última edição")</t>
        </is>
      </c>
      <c r="L87" s="12" t="inlineStr"/>
      <c r="M87" s="12" t="inlineStr">
        <is>
          <t>A contatar</t>
        </is>
      </c>
      <c r="N87" s="13" t="n"/>
      <c r="O87" s="12" t="inlineStr"/>
    </row>
    <row r="88">
      <c r="A88" s="9" t="inlineStr">
        <is>
          <t>I. Fernandes</t>
        </is>
      </c>
      <c r="B88" s="10" t="inlineStr">
        <is>
          <t>Caruaru/PE out-2026</t>
        </is>
      </c>
      <c r="C88" s="11" t="n">
        <v>1</v>
      </c>
      <c r="D88" s="11">
        <f>IF(LEFT(E88,2)="Ex","Alta",IF(C88&gt;=3,"Alta",IF(C88=2,"Média","Baixa")))</f>
        <v/>
      </c>
      <c r="E88" s="10" t="inlineStr">
        <is>
          <t>Nunca expôs</t>
        </is>
      </c>
      <c r="F88" s="10" t="inlineStr"/>
      <c r="G88" s="10" t="inlineStr"/>
      <c r="H88" s="10" t="inlineStr"/>
      <c r="I88" s="10" t="inlineStr"/>
      <c r="J88" s="10" t="inlineStr"/>
      <c r="K88" s="10" t="inlineStr">
        <is>
          <t>showutil.com.br (logos "Expositores da última edição")</t>
        </is>
      </c>
      <c r="L88" s="12" t="inlineStr"/>
      <c r="M88" s="12" t="inlineStr">
        <is>
          <t>A contatar</t>
        </is>
      </c>
      <c r="N88" s="13" t="n"/>
      <c r="O88" s="12" t="inlineStr"/>
    </row>
    <row r="89">
      <c r="A89" s="9" t="inlineStr">
        <is>
          <t>Innovo</t>
        </is>
      </c>
      <c r="B89" s="10" t="inlineStr">
        <is>
          <t>Showbrinq Caruaru/PE jul-2026</t>
        </is>
      </c>
      <c r="C89" s="11" t="n">
        <v>1</v>
      </c>
      <c r="D89" s="11">
        <f>IF(LEFT(E89,2)="Ex","Alta",IF(C89&gt;=3,"Alta",IF(C89=2,"Média","Baixa")))</f>
        <v/>
      </c>
      <c r="E89" s="10" t="inlineStr">
        <is>
          <t>Nunca expôs</t>
        </is>
      </c>
      <c r="F89" s="10" t="inlineStr">
        <is>
          <t>Brinquedos</t>
        </is>
      </c>
      <c r="G89" s="10" t="inlineStr"/>
      <c r="H89" s="10" t="inlineStr"/>
      <c r="I89" s="10" t="inlineStr"/>
      <c r="J89" s="10" t="inlineStr"/>
      <c r="K89" s="10" t="inlineStr">
        <is>
          <t>https://www.instagram.com/reel/DayRj1gpoBx/</t>
        </is>
      </c>
      <c r="L89" s="12" t="inlineStr"/>
      <c r="M89" s="12" t="inlineStr">
        <is>
          <t>A contatar</t>
        </is>
      </c>
      <c r="N89" s="13" t="n"/>
      <c r="O89" s="12" t="inlineStr"/>
    </row>
    <row r="90">
      <c r="A90" s="9" t="inlineStr">
        <is>
          <t>Ljb</t>
        </is>
      </c>
      <c r="B90" s="10" t="inlineStr">
        <is>
          <t>Caruaru/PE out-2026</t>
        </is>
      </c>
      <c r="C90" s="11" t="n">
        <v>1</v>
      </c>
      <c r="D90" s="11">
        <f>IF(LEFT(E90,2)="Ex","Alta",IF(C90&gt;=3,"Alta",IF(C90=2,"Média","Baixa")))</f>
        <v/>
      </c>
      <c r="E90" s="10" t="inlineStr">
        <is>
          <t>Nunca expôs</t>
        </is>
      </c>
      <c r="F90" s="10" t="inlineStr"/>
      <c r="G90" s="10" t="inlineStr"/>
      <c r="H90" s="10" t="inlineStr"/>
      <c r="I90" s="10" t="inlineStr"/>
      <c r="J90" s="10" t="inlineStr"/>
      <c r="K90" s="10" t="inlineStr">
        <is>
          <t>showutil.com.br (logos "Expositores da última edição")</t>
        </is>
      </c>
      <c r="L90" s="12" t="inlineStr"/>
      <c r="M90" s="12" t="inlineStr">
        <is>
          <t>A contatar</t>
        </is>
      </c>
      <c r="N90" s="13" t="n"/>
      <c r="O90" s="12" t="inlineStr"/>
    </row>
    <row r="91">
      <c r="A91" s="9" t="inlineStr">
        <is>
          <t>Micromax</t>
        </is>
      </c>
      <c r="B91" s="10" t="inlineStr">
        <is>
          <t>Caruaru/PE out-2026</t>
        </is>
      </c>
      <c r="C91" s="11" t="n">
        <v>1</v>
      </c>
      <c r="D91" s="11">
        <f>IF(LEFT(E91,2)="Ex","Alta",IF(C91&gt;=3,"Alta",IF(C91=2,"Média","Baixa")))</f>
        <v/>
      </c>
      <c r="E91" s="10" t="inlineStr">
        <is>
          <t>Nunca expôs</t>
        </is>
      </c>
      <c r="F91" s="10" t="inlineStr"/>
      <c r="G91" s="10" t="inlineStr"/>
      <c r="H91" s="10" t="inlineStr"/>
      <c r="I91" s="10" t="inlineStr"/>
      <c r="J91" s="10" t="inlineStr"/>
      <c r="K91" s="10" t="inlineStr">
        <is>
          <t>showutil.com.br (logos "Expositores da última edição")</t>
        </is>
      </c>
      <c r="L91" s="12" t="inlineStr"/>
      <c r="M91" s="12" t="inlineStr">
        <is>
          <t>A contatar</t>
        </is>
      </c>
      <c r="N91" s="13" t="n"/>
      <c r="O91" s="12" t="inlineStr"/>
    </row>
    <row r="92">
      <c r="A92" s="9" t="inlineStr">
        <is>
          <t>Moment</t>
        </is>
      </c>
      <c r="B92" s="10" t="inlineStr">
        <is>
          <t>Caruaru/PE out-2026</t>
        </is>
      </c>
      <c r="C92" s="11" t="n">
        <v>1</v>
      </c>
      <c r="D92" s="11">
        <f>IF(LEFT(E92,2)="Ex","Alta",IF(C92&gt;=3,"Alta",IF(C92=2,"Média","Baixa")))</f>
        <v/>
      </c>
      <c r="E92" s="10" t="inlineStr">
        <is>
          <t>Nunca expôs</t>
        </is>
      </c>
      <c r="F92" s="10" t="inlineStr"/>
      <c r="G92" s="10" t="inlineStr"/>
      <c r="H92" s="10" t="inlineStr"/>
      <c r="I92" s="10" t="inlineStr"/>
      <c r="J92" s="10" t="inlineStr"/>
      <c r="K92" s="10" t="inlineStr">
        <is>
          <t>showutil.com.br (logos "Expositores da última edição")</t>
        </is>
      </c>
      <c r="L92" s="12" t="inlineStr"/>
      <c r="M92" s="12" t="inlineStr">
        <is>
          <t>A contatar</t>
        </is>
      </c>
      <c r="N92" s="13" t="n"/>
      <c r="O92" s="12" t="inlineStr"/>
    </row>
    <row r="93">
      <c r="A93" s="9" t="inlineStr">
        <is>
          <t>Plasmarc</t>
        </is>
      </c>
      <c r="B93" s="10" t="inlineStr">
        <is>
          <t>Showbrinq Fortaleza/CE jul-2026</t>
        </is>
      </c>
      <c r="C93" s="11" t="n">
        <v>1</v>
      </c>
      <c r="D93" s="11">
        <f>IF(LEFT(E93,2)="Ex","Alta",IF(C93&gt;=3,"Alta",IF(C93=2,"Média","Baixa")))</f>
        <v/>
      </c>
      <c r="E93" s="10" t="inlineStr">
        <is>
          <t>Nunca expôs</t>
        </is>
      </c>
      <c r="F93" s="10" t="inlineStr">
        <is>
          <t>Brinquedos / utilidades</t>
        </is>
      </c>
      <c r="G93" s="10" t="inlineStr"/>
      <c r="H93" s="10" t="inlineStr">
        <is>
          <t>https://plasmarc.com.br</t>
        </is>
      </c>
      <c r="I93" s="10" t="inlineStr"/>
      <c r="J93" s="10" t="inlineStr"/>
      <c r="K93" s="10" t="inlineStr">
        <is>
          <t>https://plasmarc.com.br/blog/postagem/9-a-plasmarc-confirma-presenca-na-showbrinq-ceara-2026</t>
        </is>
      </c>
      <c r="L93" s="12" t="inlineStr"/>
      <c r="M93" s="12" t="inlineStr">
        <is>
          <t>A contatar</t>
        </is>
      </c>
      <c r="N93" s="13" t="n"/>
      <c r="O93" s="12" t="inlineStr"/>
    </row>
    <row r="94">
      <c r="A94" s="9" t="inlineStr">
        <is>
          <t>Plastifesta</t>
        </is>
      </c>
      <c r="B94" s="10" t="inlineStr">
        <is>
          <t>Caruaru/PE out-2026</t>
        </is>
      </c>
      <c r="C94" s="11" t="n">
        <v>1</v>
      </c>
      <c r="D94" s="11">
        <f>IF(LEFT(E94,2)="Ex","Alta",IF(C94&gt;=3,"Alta",IF(C94=2,"Média","Baixa")))</f>
        <v/>
      </c>
      <c r="E94" s="10" t="inlineStr">
        <is>
          <t>Nunca expôs</t>
        </is>
      </c>
      <c r="F94" s="10" t="inlineStr"/>
      <c r="G94" s="10" t="inlineStr"/>
      <c r="H94" s="10" t="inlineStr"/>
      <c r="I94" s="10" t="inlineStr"/>
      <c r="J94" s="10" t="inlineStr"/>
      <c r="K94" s="10" t="inlineStr">
        <is>
          <t>showutil.com.br (logos "Expositores da última edição")</t>
        </is>
      </c>
      <c r="L94" s="12" t="inlineStr"/>
      <c r="M94" s="12" t="inlineStr">
        <is>
          <t>A contatar</t>
        </is>
      </c>
      <c r="N94" s="13" t="n"/>
      <c r="O94" s="12" t="inlineStr"/>
    </row>
    <row r="95">
      <c r="A95" s="9" t="inlineStr">
        <is>
          <t>Plastsu</t>
        </is>
      </c>
      <c r="B95" s="10" t="inlineStr">
        <is>
          <t>Caruaru/PE out-2026</t>
        </is>
      </c>
      <c r="C95" s="11" t="n">
        <v>1</v>
      </c>
      <c r="D95" s="11">
        <f>IF(LEFT(E95,2)="Ex","Alta",IF(C95&gt;=3,"Alta",IF(C95=2,"Média","Baixa")))</f>
        <v/>
      </c>
      <c r="E95" s="10" t="inlineStr">
        <is>
          <t>Nunca expôs</t>
        </is>
      </c>
      <c r="F95" s="10" t="inlineStr"/>
      <c r="G95" s="10" t="inlineStr"/>
      <c r="H95" s="10" t="inlineStr"/>
      <c r="I95" s="10" t="inlineStr"/>
      <c r="J95" s="10" t="inlineStr"/>
      <c r="K95" s="10" t="inlineStr">
        <is>
          <t>showutil.com.br (logos "Expositores da última edição")</t>
        </is>
      </c>
      <c r="L95" s="12" t="inlineStr"/>
      <c r="M95" s="12" t="inlineStr">
        <is>
          <t>A contatar</t>
        </is>
      </c>
      <c r="N95" s="13" t="n"/>
      <c r="O95" s="12" t="inlineStr"/>
    </row>
    <row r="96">
      <c r="A96" s="9" t="inlineStr">
        <is>
          <t>Quadros Genaro</t>
        </is>
      </c>
      <c r="B96" s="10" t="inlineStr">
        <is>
          <t>Caruaru/PE mar-2026</t>
        </is>
      </c>
      <c r="C96" s="11" t="n">
        <v>1</v>
      </c>
      <c r="D96" s="11">
        <f>IF(LEFT(E96,2)="Ex","Alta",IF(C96&gt;=3,"Alta",IF(C96=2,"Média","Baixa")))</f>
        <v/>
      </c>
      <c r="E96" s="10" t="inlineStr">
        <is>
          <t>Nunca expôs</t>
        </is>
      </c>
      <c r="F96" s="10" t="inlineStr"/>
      <c r="G96" s="10" t="inlineStr"/>
      <c r="H96" s="10" t="inlineStr"/>
      <c r="I96" s="10" t="inlineStr"/>
      <c r="J96" s="10" t="inlineStr"/>
      <c r="K96" s="10" t="inlineStr">
        <is>
          <t>showutil.com.br (logos "Expositores da última edição")</t>
        </is>
      </c>
      <c r="L96" s="12" t="inlineStr"/>
      <c r="M96" s="12" t="inlineStr">
        <is>
          <t>A contatar</t>
        </is>
      </c>
      <c r="N96" s="13" t="n"/>
      <c r="O96" s="12" t="inlineStr"/>
    </row>
    <row r="97">
      <c r="A97" s="9" t="inlineStr">
        <is>
          <t>Rio De Ouro</t>
        </is>
      </c>
      <c r="B97" s="10" t="inlineStr">
        <is>
          <t>Feira de Santana/BA mar-2026</t>
        </is>
      </c>
      <c r="C97" s="11" t="n">
        <v>1</v>
      </c>
      <c r="D97" s="11">
        <f>IF(LEFT(E97,2)="Ex","Alta",IF(C97&gt;=3,"Alta",IF(C97=2,"Média","Baixa")))</f>
        <v/>
      </c>
      <c r="E97" s="10" t="inlineStr">
        <is>
          <t>Nunca expôs</t>
        </is>
      </c>
      <c r="F97" s="10" t="inlineStr">
        <is>
          <t>UD / vidros / mesa (marca — confirmar)</t>
        </is>
      </c>
      <c r="G97" s="10" t="inlineStr"/>
      <c r="H97" s="10" t="inlineStr"/>
      <c r="I97" s="10" t="inlineStr"/>
      <c r="J97" s="10" t="inlineStr"/>
      <c r="K97" s="10" t="inlineStr">
        <is>
          <t>showutil.com.br (logos "Expositores da última edição")</t>
        </is>
      </c>
      <c r="L97" s="12" t="inlineStr"/>
      <c r="M97" s="12" t="inlineStr">
        <is>
          <t>A contatar</t>
        </is>
      </c>
      <c r="N97" s="13" t="n"/>
      <c r="O97" s="12" t="inlineStr"/>
    </row>
    <row r="98">
      <c r="A98" s="9" t="inlineStr">
        <is>
          <t>Sambão</t>
        </is>
      </c>
      <c r="B98" s="10" t="inlineStr">
        <is>
          <t>Feira de Santana/BA mar-2026</t>
        </is>
      </c>
      <c r="C98" s="11" t="n">
        <v>1</v>
      </c>
      <c r="D98" s="11">
        <f>IF(LEFT(E98,2)="Ex","Alta",IF(C98&gt;=3,"Alta",IF(C98=2,"Média","Baixa")))</f>
        <v/>
      </c>
      <c r="E98" s="10" t="inlineStr">
        <is>
          <t>Nunca expôs</t>
        </is>
      </c>
      <c r="F98" s="10" t="inlineStr"/>
      <c r="G98" s="10" t="inlineStr"/>
      <c r="H98" s="10" t="inlineStr"/>
      <c r="I98" s="10" t="inlineStr"/>
      <c r="J98" s="10" t="inlineStr"/>
      <c r="K98" s="10" t="inlineStr">
        <is>
          <t>showutil.com.br (logos "Expositores da última edição")</t>
        </is>
      </c>
      <c r="L98" s="12" t="inlineStr"/>
      <c r="M98" s="12" t="inlineStr">
        <is>
          <t>A contatar</t>
        </is>
      </c>
      <c r="N98" s="13" t="n"/>
      <c r="O98" s="12" t="inlineStr"/>
    </row>
    <row r="99">
      <c r="A99" s="9" t="inlineStr">
        <is>
          <t>Sbr</t>
        </is>
      </c>
      <c r="B99" s="10" t="inlineStr">
        <is>
          <t>Caruaru/PE out-2026</t>
        </is>
      </c>
      <c r="C99" s="11" t="n">
        <v>1</v>
      </c>
      <c r="D99" s="11">
        <f>IF(LEFT(E99,2)="Ex","Alta",IF(C99&gt;=3,"Alta",IF(C99=2,"Média","Baixa")))</f>
        <v/>
      </c>
      <c r="E99" s="10" t="inlineStr">
        <is>
          <t>Nunca expôs</t>
        </is>
      </c>
      <c r="F99" s="10" t="inlineStr"/>
      <c r="G99" s="10" t="inlineStr"/>
      <c r="H99" s="10" t="inlineStr"/>
      <c r="I99" s="10" t="inlineStr"/>
      <c r="J99" s="10" t="inlineStr"/>
      <c r="K99" s="10" t="inlineStr">
        <is>
          <t>showutil.com.br (logos "Expositores da última edição")</t>
        </is>
      </c>
      <c r="L99" s="12" t="inlineStr"/>
      <c r="M99" s="12" t="inlineStr">
        <is>
          <t>A contatar</t>
        </is>
      </c>
      <c r="N99" s="13" t="n"/>
      <c r="O99" s="12" t="inlineStr"/>
    </row>
    <row r="100">
      <c r="A100" s="9" t="inlineStr">
        <is>
          <t>Stolf</t>
        </is>
      </c>
      <c r="B100" s="10" t="inlineStr">
        <is>
          <t>Caruaru/PE mar-2026</t>
        </is>
      </c>
      <c r="C100" s="11" t="n">
        <v>1</v>
      </c>
      <c r="D100" s="11">
        <f>IF(LEFT(E100,2)="Ex","Alta",IF(C100&gt;=3,"Alta",IF(C100=2,"Média","Baixa")))</f>
        <v/>
      </c>
      <c r="E100" s="10" t="inlineStr">
        <is>
          <t>Nunca expôs</t>
        </is>
      </c>
      <c r="F100" s="10" t="inlineStr"/>
      <c r="G100" s="10" t="inlineStr"/>
      <c r="H100" s="10" t="inlineStr"/>
      <c r="I100" s="10" t="inlineStr"/>
      <c r="J100" s="10" t="inlineStr"/>
      <c r="K100" s="10" t="inlineStr">
        <is>
          <t>showutil.com.br (logos "Expositores da última edição")</t>
        </is>
      </c>
      <c r="L100" s="12" t="inlineStr"/>
      <c r="M100" s="12" t="inlineStr">
        <is>
          <t>A contatar</t>
        </is>
      </c>
      <c r="N100" s="13" t="n"/>
      <c r="O100" s="12" t="inlineStr"/>
    </row>
    <row r="101">
      <c r="A101" s="9" t="inlineStr">
        <is>
          <t>Tafeplas</t>
        </is>
      </c>
      <c r="B101" s="10" t="inlineStr">
        <is>
          <t>Showbrinq Caruaru/PE jul-2026</t>
        </is>
      </c>
      <c r="C101" s="11" t="n">
        <v>1</v>
      </c>
      <c r="D101" s="11">
        <f>IF(LEFT(E101,2)="Ex","Alta",IF(C101&gt;=3,"Alta",IF(C101=2,"Média","Baixa")))</f>
        <v/>
      </c>
      <c r="E101" s="10" t="inlineStr">
        <is>
          <t>Nunca expôs</t>
        </is>
      </c>
      <c r="F101" s="10" t="inlineStr">
        <is>
          <t>Brinquedos</t>
        </is>
      </c>
      <c r="G101" s="10" t="inlineStr"/>
      <c r="H101" s="10" t="inlineStr"/>
      <c r="I101" s="10" t="inlineStr"/>
      <c r="J101" s="10" t="inlineStr"/>
      <c r="K101" s="10" t="inlineStr">
        <is>
          <t>https://www.facebook.com/100067592506070/posts/1346521767610894/</t>
        </is>
      </c>
      <c r="L101" s="12" t="inlineStr"/>
      <c r="M101" s="12" t="inlineStr">
        <is>
          <t>A contatar</t>
        </is>
      </c>
      <c r="N101" s="13" t="n"/>
      <c r="O101" s="12" t="inlineStr"/>
    </row>
    <row r="102">
      <c r="A102" s="9" t="inlineStr">
        <is>
          <t>Tenedo</t>
        </is>
      </c>
      <c r="B102" s="10" t="inlineStr">
        <is>
          <t>Caruaru/PE mar-2026</t>
        </is>
      </c>
      <c r="C102" s="11" t="n">
        <v>1</v>
      </c>
      <c r="D102" s="11">
        <f>IF(LEFT(E102,2)="Ex","Alta",IF(C102&gt;=3,"Alta",IF(C102=2,"Média","Baixa")))</f>
        <v/>
      </c>
      <c r="E102" s="10" t="inlineStr">
        <is>
          <t>Nunca expôs</t>
        </is>
      </c>
      <c r="F102" s="10" t="inlineStr"/>
      <c r="G102" s="10" t="inlineStr"/>
      <c r="H102" s="10" t="inlineStr"/>
      <c r="I102" s="10" t="inlineStr"/>
      <c r="J102" s="10" t="inlineStr"/>
      <c r="K102" s="10" t="inlineStr">
        <is>
          <t>showutil.com.br (logos "Expositores da última edição")</t>
        </is>
      </c>
      <c r="L102" s="12" t="inlineStr"/>
      <c r="M102" s="12" t="inlineStr">
        <is>
          <t>A contatar</t>
        </is>
      </c>
      <c r="N102" s="13" t="n"/>
      <c r="O102" s="12" t="inlineStr"/>
    </row>
    <row r="103">
      <c r="A103" s="9" t="inlineStr">
        <is>
          <t>Topplast</t>
        </is>
      </c>
      <c r="B103" s="10" t="inlineStr">
        <is>
          <t>São Luís/MA mar-2026</t>
        </is>
      </c>
      <c r="C103" s="11" t="n">
        <v>1</v>
      </c>
      <c r="D103" s="11">
        <f>IF(LEFT(E103,2)="Ex","Alta",IF(C103&gt;=3,"Alta",IF(C103=2,"Média","Baixa")))</f>
        <v/>
      </c>
      <c r="E103" s="10" t="inlineStr">
        <is>
          <t>Nunca expôs</t>
        </is>
      </c>
      <c r="F103" s="10" t="inlineStr">
        <is>
          <t>UD plásticas (indústria)</t>
        </is>
      </c>
      <c r="G103" s="10" t="inlineStr">
        <is>
          <t>Eusébio/CE</t>
        </is>
      </c>
      <c r="H103" s="10" t="inlineStr">
        <is>
          <t>https://www.topplast.ind.br</t>
        </is>
      </c>
      <c r="I103" s="10" t="inlineStr"/>
      <c r="J103" s="10" t="inlineStr">
        <is>
          <t>WhatsApp (85) 99612-8537</t>
        </is>
      </c>
      <c r="K103" s="10" t="inlineStr">
        <is>
          <t>showutil.com.br (logos "Expositores da última edição")</t>
        </is>
      </c>
      <c r="L103" s="12" t="inlineStr"/>
      <c r="M103" s="12" t="inlineStr">
        <is>
          <t>A contatar</t>
        </is>
      </c>
      <c r="N103" s="13" t="n"/>
      <c r="O103" s="12" t="inlineStr"/>
    </row>
    <row r="104">
      <c r="A104" s="9" t="inlineStr">
        <is>
          <t>Unika</t>
        </is>
      </c>
      <c r="B104" s="10" t="inlineStr">
        <is>
          <t>Caruaru/PE out-2026</t>
        </is>
      </c>
      <c r="C104" s="11" t="n">
        <v>1</v>
      </c>
      <c r="D104" s="11">
        <f>IF(LEFT(E104,2)="Ex","Alta",IF(C104&gt;=3,"Alta",IF(C104=2,"Média","Baixa")))</f>
        <v/>
      </c>
      <c r="E104" s="10" t="inlineStr">
        <is>
          <t>Nunca expôs</t>
        </is>
      </c>
      <c r="F104" s="10" t="inlineStr"/>
      <c r="G104" s="10" t="inlineStr"/>
      <c r="H104" s="10" t="inlineStr"/>
      <c r="I104" s="10" t="inlineStr"/>
      <c r="J104" s="10" t="inlineStr"/>
      <c r="K104" s="10" t="inlineStr">
        <is>
          <t>showutil.com.br (logos "Expositores da última edição")</t>
        </is>
      </c>
      <c r="L104" s="12" t="inlineStr"/>
      <c r="M104" s="12" t="inlineStr">
        <is>
          <t>A contatar</t>
        </is>
      </c>
      <c r="N104" s="13" t="n"/>
      <c r="O104" s="12" t="inlineStr"/>
    </row>
    <row r="105">
      <c r="A105" s="9" t="inlineStr">
        <is>
          <t>Uriarte</t>
        </is>
      </c>
      <c r="B105" s="10" t="inlineStr">
        <is>
          <t>Caruaru/PE out-2026</t>
        </is>
      </c>
      <c r="C105" s="11" t="n">
        <v>1</v>
      </c>
      <c r="D105" s="11">
        <f>IF(LEFT(E105,2)="Ex","Alta",IF(C105&gt;=3,"Alta",IF(C105=2,"Média","Baixa")))</f>
        <v/>
      </c>
      <c r="E105" s="10" t="inlineStr">
        <is>
          <t>Nunca expôs</t>
        </is>
      </c>
      <c r="F105" s="10" t="inlineStr">
        <is>
          <t>Presentes, embalagens, jogos educativos, papelaria</t>
        </is>
      </c>
      <c r="G105" s="10" t="inlineStr">
        <is>
          <t>Erechim/RS</t>
        </is>
      </c>
      <c r="H105" s="10" t="inlineStr">
        <is>
          <t>https://www.grupouriarte.com.br</t>
        </is>
      </c>
      <c r="I105" s="10" t="inlineStr"/>
      <c r="J105" s="10" t="inlineStr">
        <is>
          <t>(54) 3522-8966 / WhatsApp (54) 99118-2542</t>
        </is>
      </c>
      <c r="K105" s="10" t="inlineStr">
        <is>
          <t>showutil.com.br (logos "Expositores da última edição")</t>
        </is>
      </c>
      <c r="L105" s="12" t="inlineStr"/>
      <c r="M105" s="12" t="inlineStr">
        <is>
          <t>A contatar</t>
        </is>
      </c>
      <c r="N105" s="13" t="n"/>
      <c r="O105" s="12" t="inlineStr"/>
    </row>
    <row r="106">
      <c r="A106" s="9" t="inlineStr">
        <is>
          <t>Uz Utilidades</t>
        </is>
      </c>
      <c r="B106" s="10" t="inlineStr">
        <is>
          <t>Caruaru/PE mar-2026</t>
        </is>
      </c>
      <c r="C106" s="11" t="n">
        <v>1</v>
      </c>
      <c r="D106" s="11">
        <f>IF(LEFT(E106,2)="Ex","Alta",IF(C106&gt;=3,"Alta",IF(C106=2,"Média","Baixa")))</f>
        <v/>
      </c>
      <c r="E106" s="10" t="inlineStr">
        <is>
          <t>Nunca expôs</t>
        </is>
      </c>
      <c r="F106" s="10" t="inlineStr">
        <is>
          <t>UD plásticas — razão social Usual Plastic (verificar se é do grupo do cliente Usual)</t>
        </is>
      </c>
      <c r="G106" s="10" t="inlineStr">
        <is>
          <t>Cesário Lange/SP</t>
        </is>
      </c>
      <c r="H106" s="10" t="inlineStr"/>
      <c r="I106" s="10" t="inlineStr"/>
      <c r="J106" s="10" t="inlineStr">
        <is>
          <t>(15) 3283-3659</t>
        </is>
      </c>
      <c r="K106" s="10" t="inlineStr">
        <is>
          <t>showutil.com.br (logos "Expositores da última edição")</t>
        </is>
      </c>
      <c r="L106" s="12" t="inlineStr"/>
      <c r="M106" s="12" t="inlineStr">
        <is>
          <t>A contatar</t>
        </is>
      </c>
      <c r="N106" s="13" t="n"/>
      <c r="O106" s="12" t="inlineStr"/>
    </row>
    <row r="107">
      <c r="A107" s="9" t="inlineStr">
        <is>
          <t>Wheaton</t>
        </is>
      </c>
      <c r="B107" s="10" t="inlineStr">
        <is>
          <t>Caruaru/PE mar-2026</t>
        </is>
      </c>
      <c r="C107" s="11" t="n">
        <v>1</v>
      </c>
      <c r="D107" s="11">
        <f>IF(LEFT(E107,2)="Ex","Alta",IF(C107&gt;=3,"Alta",IF(C107=2,"Média","Baixa")))</f>
        <v/>
      </c>
      <c r="E107" s="10" t="inlineStr">
        <is>
          <t>Nunca expôs</t>
        </is>
      </c>
      <c r="F107" s="10" t="inlineStr"/>
      <c r="G107" s="10" t="inlineStr"/>
      <c r="H107" s="10" t="inlineStr"/>
      <c r="I107" s="10" t="inlineStr"/>
      <c r="J107" s="10" t="inlineStr"/>
      <c r="K107" s="10" t="inlineStr">
        <is>
          <t>showutil.com.br (logos "Expositores da última edição")</t>
        </is>
      </c>
      <c r="L107" s="12" t="inlineStr"/>
      <c r="M107" s="12" t="inlineStr">
        <is>
          <t>A contatar</t>
        </is>
      </c>
      <c r="N107" s="13" t="n"/>
      <c r="O107" s="12" t="inlineStr"/>
    </row>
  </sheetData>
  <autoFilter ref="A1:O107"/>
  <conditionalFormatting sqref="D2:D107">
    <cfRule type="cellIs" priority="1" operator="equal" dxfId="0">
      <formula>"Alta"</formula>
    </cfRule>
    <cfRule type="cellIs" priority="2" operator="equal" dxfId="1">
      <formula>"Média"</formula>
    </cfRule>
  </conditionalFormatting>
  <conditionalFormatting sqref="M2:M107">
    <cfRule type="cellIs" priority="3" operator="equal" dxfId="2">
      <formula>"Fechado"</formula>
    </cfRule>
  </conditionalFormatting>
  <conditionalFormatting sqref="E2:E107">
    <cfRule type="expression" priority="4" dxfId="3">
      <formula>LEFT($E2,2)="Ex"</formula>
    </cfRule>
  </conditionalFormatting>
  <dataValidations count="2">
    <dataValidation sqref="M2:M107" showDropDown="0" showInputMessage="0" showErrorMessage="0" allowBlank="1" type="list">
      <formula1>"A contatar,Contatado,Interessado,Proposta enviada,Fechado,Sem interesse"</formula1>
    </dataValidation>
    <dataValidation sqref="N2:N107" showDropDown="0" showInputMessage="0" showErrorMessage="0" allowBlank="1" type="date" operator="greaterThan">
      <formula1>DATE(2026,1,1)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4" customWidth="1" min="3" max="3"/>
    <col width="70" customWidth="1" min="4" max="4"/>
  </cols>
  <sheetData>
    <row r="1">
      <c r="A1" s="1" t="inlineStr">
        <is>
          <t>Clientes ativos da Expo MultiMix que também expõem em feiras do Nordeste (Showutil / Showbrinq)</t>
        </is>
      </c>
    </row>
    <row r="2">
      <c r="A2" s="2" t="inlineStr">
        <is>
          <t>Essas feiras disputam o mesmo grupo de fornecedores. Use para fidelizar: são os primeiros a receber condições para 2027.</t>
        </is>
      </c>
    </row>
    <row r="4">
      <c r="A4" s="14" t="inlineStr">
        <is>
          <t>Cliente</t>
        </is>
      </c>
      <c r="B4" s="14" t="inlineStr">
        <is>
          <t>Edições Expo MultiMix (2025–2026)</t>
        </is>
      </c>
      <c r="C4" s="14" t="inlineStr">
        <is>
          <t>Nº edições no Nordeste 2026</t>
        </is>
      </c>
      <c r="D4" s="14" t="inlineStr">
        <is>
          <t>Feiras no Nordeste 2026</t>
        </is>
      </c>
    </row>
    <row r="5">
      <c r="A5" s="9" t="inlineStr">
        <is>
          <t>Plasberg</t>
        </is>
      </c>
      <c r="B5" s="10" t="inlineStr">
        <is>
          <t>2026 Belém</t>
        </is>
      </c>
      <c r="C5" s="11" t="n">
        <v>5</v>
      </c>
      <c r="D5" s="10" t="inlineStr">
        <is>
          <t>Caruaru/PE mar-2026; Caruaru/PE out-2026; Feira de Santana/BA mar-2026; Feira de Santana/BA out-2026; São Luís/MA mar-2026</t>
        </is>
      </c>
    </row>
    <row r="6">
      <c r="A6" s="9" t="inlineStr">
        <is>
          <t>Arca Plast</t>
        </is>
      </c>
      <c r="B6" s="10" t="inlineStr">
        <is>
          <t>2025 Belém, 2026 Belém</t>
        </is>
      </c>
      <c r="C6" s="11" t="n">
        <v>5</v>
      </c>
      <c r="D6" s="10" t="inlineStr">
        <is>
          <t>Caruaru/PE mar-2026; Caruaru/PE out-2026; Feira de Santana/BA mar-2026; Feira de Santana/BA out-2026; São Luís/MA mar-2026</t>
        </is>
      </c>
    </row>
    <row r="7">
      <c r="A7" s="9" t="inlineStr">
        <is>
          <t>Plasti.Co</t>
        </is>
      </c>
      <c r="B7" s="10" t="inlineStr">
        <is>
          <t>2026 Manaus, 2026 Belém</t>
        </is>
      </c>
      <c r="C7" s="11" t="n">
        <v>4</v>
      </c>
      <c r="D7" s="10" t="inlineStr">
        <is>
          <t>Caruaru/PE mar-2026; Caruaru/PE out-2026; Feira de Santana/BA mar-2026; São Luís/MA mar-2026</t>
        </is>
      </c>
    </row>
    <row r="8">
      <c r="A8" s="9" t="inlineStr">
        <is>
          <t>Intimate</t>
        </is>
      </c>
      <c r="B8" s="10" t="inlineStr">
        <is>
          <t>2026 Manaus, 2026 Belém</t>
        </is>
      </c>
      <c r="C8" s="11" t="n">
        <v>4</v>
      </c>
      <c r="D8" s="10" t="inlineStr">
        <is>
          <t>Caruaru/PE mar-2026; Caruaru/PE out-2026; Feira de Santana/BA mar-2026; São Luís/MA mar-2026</t>
        </is>
      </c>
    </row>
    <row r="9">
      <c r="A9" s="9" t="inlineStr">
        <is>
          <t>Luz Aluminio / Luz Panelas</t>
        </is>
      </c>
      <c r="B9" s="10" t="inlineStr">
        <is>
          <t>2025 Manaus, 2025 Belém, 2026 Manaus, 2026 Belém</t>
        </is>
      </c>
      <c r="C9" s="11" t="n">
        <v>4</v>
      </c>
      <c r="D9" s="10" t="inlineStr">
        <is>
          <t>Caruaru/PE mar-2026; Caruaru/PE out-2026; Feira de Santana/BA mar-2026; São Luís/MA mar-2026</t>
        </is>
      </c>
    </row>
    <row r="10">
      <c r="A10" s="9" t="inlineStr">
        <is>
          <t>Unitermi</t>
        </is>
      </c>
      <c r="B10" s="10" t="inlineStr">
        <is>
          <t>2025 Manaus, 2025 Belém, 2026 Manaus, 2026 Belém</t>
        </is>
      </c>
      <c r="C10" s="11" t="n">
        <v>3</v>
      </c>
      <c r="D10" s="10" t="inlineStr">
        <is>
          <t>Caruaru/PE mar-2026; Caruaru/PE out-2026; São Luís/MA mar-2026</t>
        </is>
      </c>
    </row>
    <row r="11">
      <c r="A11" s="9" t="inlineStr">
        <is>
          <t>Plasmont</t>
        </is>
      </c>
      <c r="B11" s="10" t="inlineStr">
        <is>
          <t>2026 Belém</t>
        </is>
      </c>
      <c r="C11" s="11" t="n">
        <v>3</v>
      </c>
      <c r="D11" s="10" t="inlineStr">
        <is>
          <t>Caruaru/PE mar-2026; Caruaru/PE out-2026; São Luís/MA mar-2026</t>
        </is>
      </c>
    </row>
    <row r="12">
      <c r="A12" s="9" t="inlineStr">
        <is>
          <t>For-Plast</t>
        </is>
      </c>
      <c r="B12" s="10" t="inlineStr">
        <is>
          <t>2025 Belém, 2026 Belém</t>
        </is>
      </c>
      <c r="C12" s="11" t="n">
        <v>3</v>
      </c>
      <c r="D12" s="10" t="inlineStr">
        <is>
          <t>Caruaru/PE mar-2026; Caruaru/PE out-2026; São Luís/MA mar-2026</t>
        </is>
      </c>
    </row>
    <row r="13">
      <c r="A13" s="9" t="inlineStr">
        <is>
          <t>Merconplas</t>
        </is>
      </c>
      <c r="B13" s="10" t="inlineStr">
        <is>
          <t>2025 Manaus, 2026 Manaus</t>
        </is>
      </c>
      <c r="C13" s="11" t="n">
        <v>3</v>
      </c>
      <c r="D13" s="10" t="inlineStr">
        <is>
          <t>Caruaru/PE mar-2026; Feira de Santana/BA mar-2026; São Luís/MA mar-2026</t>
        </is>
      </c>
    </row>
    <row r="14">
      <c r="A14" s="9" t="inlineStr">
        <is>
          <t>Xpert</t>
        </is>
      </c>
      <c r="B14" s="10" t="inlineStr">
        <is>
          <t>2026 Belém</t>
        </is>
      </c>
      <c r="C14" s="11" t="n">
        <v>3</v>
      </c>
      <c r="D14" s="10" t="inlineStr">
        <is>
          <t>Caruaru/PE mar-2026; Caruaru/PE out-2026; São Luís/MA mar-2026</t>
        </is>
      </c>
    </row>
    <row r="15">
      <c r="A15" s="9" t="inlineStr">
        <is>
          <t>Lp House (Samba)</t>
        </is>
      </c>
      <c r="B15" s="10" t="inlineStr">
        <is>
          <t>2026 Belém</t>
        </is>
      </c>
      <c r="C15" s="11" t="n">
        <v>3</v>
      </c>
      <c r="D15" s="10" t="inlineStr">
        <is>
          <t>Caruaru/PE mar-2026; Feira de Santana/BA mar-2026; São Luís/MA mar-2026</t>
        </is>
      </c>
    </row>
    <row r="16">
      <c r="A16" s="9" t="inlineStr">
        <is>
          <t>Tilin</t>
        </is>
      </c>
      <c r="B16" s="10" t="inlineStr">
        <is>
          <t>2025 Belém, 2026 Belém</t>
        </is>
      </c>
      <c r="C16" s="11" t="n">
        <v>3</v>
      </c>
      <c r="D16" s="10" t="inlineStr">
        <is>
          <t>Showbrinq 2026; Caruaru/PE mar-2026; Caruaru/PE out-2026</t>
        </is>
      </c>
    </row>
    <row r="17">
      <c r="A17" s="9" t="inlineStr">
        <is>
          <t>Alumínio Cinthya</t>
        </is>
      </c>
      <c r="B17" s="10" t="inlineStr">
        <is>
          <t>2026 Belém</t>
        </is>
      </c>
      <c r="C17" s="11" t="n">
        <v>3</v>
      </c>
      <c r="D17" s="10" t="inlineStr">
        <is>
          <t>Caruaru/PE mar-2026; Caruaru/PE out-2026; São Luís/MA mar-2026</t>
        </is>
      </c>
    </row>
    <row r="18">
      <c r="A18" s="9" t="inlineStr">
        <is>
          <t>Usual Brinquedos E Utilidades</t>
        </is>
      </c>
      <c r="B18" s="10" t="inlineStr">
        <is>
          <t>2025 Manaus, 2025 Belém, 2026 Manaus, 2026 Belém</t>
        </is>
      </c>
      <c r="C18" s="11" t="n">
        <v>3</v>
      </c>
      <c r="D18" s="10" t="inlineStr">
        <is>
          <t>Caruaru/PE mar-2026; Caruaru/PE out-2026; São Luís/MA mar-2026</t>
        </is>
      </c>
    </row>
    <row r="19">
      <c r="A19" s="9" t="inlineStr">
        <is>
          <t>Smiling Kids (Jorani)</t>
        </is>
      </c>
      <c r="B19" s="10" t="inlineStr">
        <is>
          <t>2025 Manaus, 2025 Belém, 2026 Belém</t>
        </is>
      </c>
      <c r="C19" s="11" t="n">
        <v>3</v>
      </c>
      <c r="D19" s="10" t="inlineStr">
        <is>
          <t>Caruaru/PE mar-2026; Caruaru/PE out-2026; Feira de Santana/BA mar-2026</t>
        </is>
      </c>
    </row>
    <row r="20">
      <c r="A20" s="9" t="inlineStr">
        <is>
          <t>Fc</t>
        </is>
      </c>
      <c r="B20" s="10" t="inlineStr">
        <is>
          <t>2026 Manaus, 2026 Belém</t>
        </is>
      </c>
      <c r="C20" s="11" t="n">
        <v>2</v>
      </c>
      <c r="D20" s="10" t="inlineStr">
        <is>
          <t>Caruaru/PE mar-2026; São Luís/MA mar-2026</t>
        </is>
      </c>
    </row>
    <row r="21">
      <c r="A21" s="9" t="inlineStr">
        <is>
          <t>Rdr</t>
        </is>
      </c>
      <c r="B21" s="10" t="inlineStr">
        <is>
          <t>2026 Belém</t>
        </is>
      </c>
      <c r="C21" s="11" t="n">
        <v>2</v>
      </c>
      <c r="D21" s="10" t="inlineStr">
        <is>
          <t>Caruaru/PE mar-2026; São Luís/MA mar-2026</t>
        </is>
      </c>
    </row>
    <row r="22">
      <c r="A22" s="9" t="inlineStr">
        <is>
          <t>Maral</t>
        </is>
      </c>
      <c r="B22" s="10" t="inlineStr">
        <is>
          <t>2026 Belém</t>
        </is>
      </c>
      <c r="C22" s="11" t="n">
        <v>2</v>
      </c>
      <c r="D22" s="10" t="inlineStr">
        <is>
          <t>Caruaru/PE mar-2026; Caruaru/PE out-2026</t>
        </is>
      </c>
    </row>
    <row r="23">
      <c r="A23" s="9" t="inlineStr">
        <is>
          <t>Nathor</t>
        </is>
      </c>
      <c r="B23" s="10" t="inlineStr">
        <is>
          <t>2025 Belém, 2026 Manaus, 2026 Belém</t>
        </is>
      </c>
      <c r="C23" s="11" t="n">
        <v>2</v>
      </c>
      <c r="D23" s="10" t="inlineStr">
        <is>
          <t>Caruaru/PE mar-2026; Caruaru/PE out-2026</t>
        </is>
      </c>
    </row>
    <row r="24">
      <c r="A24" s="9" t="inlineStr">
        <is>
          <t>Mbrilhante (A&amp;B Comercio)</t>
        </is>
      </c>
      <c r="B24" s="10" t="inlineStr">
        <is>
          <t>2026 Manaus, 2026 Belém</t>
        </is>
      </c>
      <c r="C24" s="11" t="n">
        <v>2</v>
      </c>
      <c r="D24" s="10" t="inlineStr">
        <is>
          <t>Caruaru/PE mar-2026; São Luís/MA mar-2026</t>
        </is>
      </c>
    </row>
    <row r="25">
      <c r="A25" s="9" t="inlineStr">
        <is>
          <t>Xalingo</t>
        </is>
      </c>
      <c r="B25" s="10" t="inlineStr">
        <is>
          <t>2025 Belém, 2026 Belém</t>
        </is>
      </c>
      <c r="C25" s="11" t="n">
        <v>2</v>
      </c>
      <c r="D25" s="10" t="inlineStr">
        <is>
          <t>Showbrinq Caruaru/PE jul-2026; Showbrinq Feira de Santana/BA jul-2026</t>
        </is>
      </c>
    </row>
    <row r="26">
      <c r="A26" s="9" t="inlineStr">
        <is>
          <t>Plasvale</t>
        </is>
      </c>
      <c r="B26" s="10" t="inlineStr">
        <is>
          <t>2026 Manaus, 2026 Belém</t>
        </is>
      </c>
      <c r="C26" s="11" t="n">
        <v>1</v>
      </c>
      <c r="D26" s="10" t="inlineStr">
        <is>
          <t>Caruaru/PE mar-2026</t>
        </is>
      </c>
    </row>
    <row r="27">
      <c r="A27" s="9" t="inlineStr">
        <is>
          <t>Simonaggio</t>
        </is>
      </c>
      <c r="B27" s="10" t="inlineStr">
        <is>
          <t>2025 Manaus, 2026 Manaus</t>
        </is>
      </c>
      <c r="C27" s="11" t="n">
        <v>1</v>
      </c>
      <c r="D27" s="10" t="inlineStr">
        <is>
          <t>Caruaru/PE mar-2026</t>
        </is>
      </c>
    </row>
    <row r="28">
      <c r="A28" s="9" t="inlineStr">
        <is>
          <t>Vasap</t>
        </is>
      </c>
      <c r="B28" s="10" t="inlineStr">
        <is>
          <t>2026 Belém</t>
        </is>
      </c>
      <c r="C28" s="11" t="n">
        <v>1</v>
      </c>
      <c r="D28" s="10" t="inlineStr">
        <is>
          <t>São Luís/MA mar-2026</t>
        </is>
      </c>
    </row>
    <row r="29">
      <c r="A29" s="9" t="inlineStr">
        <is>
          <t>Easy Plast</t>
        </is>
      </c>
      <c r="B29" s="10" t="inlineStr">
        <is>
          <t>2025 Belém, 2026 Manaus</t>
        </is>
      </c>
      <c r="C29" s="11" t="n">
        <v>1</v>
      </c>
      <c r="D29" s="10" t="inlineStr">
        <is>
          <t>São Luís/MA mar-2026</t>
        </is>
      </c>
    </row>
    <row r="30">
      <c r="A30" s="9" t="inlineStr">
        <is>
          <t>Fênix Brinquedos</t>
        </is>
      </c>
      <c r="B30" s="10" t="inlineStr">
        <is>
          <t>2026 Belém</t>
        </is>
      </c>
      <c r="C30" s="11" t="n">
        <v>1</v>
      </c>
      <c r="D30" s="10" t="inlineStr">
        <is>
          <t>Caruaru/PE out-2026</t>
        </is>
      </c>
    </row>
    <row r="31">
      <c r="A31" s="9" t="inlineStr">
        <is>
          <t>Dcaza</t>
        </is>
      </c>
      <c r="B31" s="10" t="inlineStr">
        <is>
          <t>2026 Manaus</t>
        </is>
      </c>
      <c r="C31" s="11" t="n">
        <v>1</v>
      </c>
      <c r="D31" s="10" t="inlineStr">
        <is>
          <t>Caruaru/PE out-2026</t>
        </is>
      </c>
    </row>
    <row r="32">
      <c r="A32" s="9" t="inlineStr">
        <is>
          <t>New Goods</t>
        </is>
      </c>
      <c r="B32" s="10" t="inlineStr">
        <is>
          <t>2025 Belém, 2026 Manaus, 2026 Belém</t>
        </is>
      </c>
      <c r="C32" s="11" t="n">
        <v>1</v>
      </c>
      <c r="D32" s="10" t="inlineStr">
        <is>
          <t>Caruaru/PE out-2026</t>
        </is>
      </c>
    </row>
    <row r="33">
      <c r="A33" s="9" t="inlineStr">
        <is>
          <t>Doce Brinquedos</t>
        </is>
      </c>
      <c r="B33" s="10" t="inlineStr">
        <is>
          <t>2025 Manaus, 2026 Manaus</t>
        </is>
      </c>
      <c r="C33" s="11" t="n">
        <v>1</v>
      </c>
      <c r="D33" s="10" t="inlineStr">
        <is>
          <t>Showbrinq Caruaru/PE jul-2026</t>
        </is>
      </c>
    </row>
    <row r="34">
      <c r="A34" s="9" t="inlineStr">
        <is>
          <t>Brinquedos Anjo</t>
        </is>
      </c>
      <c r="B34" s="10" t="inlineStr">
        <is>
          <t>2025 Belém, 2026 Belém</t>
        </is>
      </c>
      <c r="C34" s="11" t="n">
        <v>1</v>
      </c>
      <c r="D34" s="10" t="inlineStr">
        <is>
          <t>Showbrinq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8" customWidth="1" min="4" max="4"/>
    <col width="36" customWidth="1" min="5" max="5"/>
    <col width="22" customWidth="1" min="6" max="6"/>
    <col width="60" customWidth="1" min="7" max="7"/>
  </cols>
  <sheetData>
    <row r="1">
      <c r="A1" s="1" t="inlineStr">
        <is>
          <t>Feiras B2B no Nordeste nos nossos segmentos</t>
        </is>
      </c>
    </row>
    <row r="3">
      <c r="A3" s="15" t="inlineStr">
        <is>
          <t>Feira</t>
        </is>
      </c>
      <c r="B3" s="15" t="inlineStr">
        <is>
          <t>Cidade/UF</t>
        </is>
      </c>
      <c r="C3" s="15" t="inlineStr">
        <is>
          <t>Local</t>
        </is>
      </c>
      <c r="D3" s="15" t="inlineStr">
        <is>
          <t>Data</t>
        </is>
      </c>
      <c r="E3" s="15" t="inlineStr">
        <is>
          <t>Segmento</t>
        </is>
      </c>
      <c r="F3" s="15" t="inlineStr">
        <is>
          <t>Lista de expositores pública?</t>
        </is>
      </c>
      <c r="G3" s="15" t="inlineStr">
        <is>
          <t>Fonte</t>
        </is>
      </c>
    </row>
    <row r="4">
      <c r="A4" s="10" t="inlineStr">
        <is>
          <t>Showutil (1º sem.)</t>
        </is>
      </c>
      <c r="B4" s="10" t="inlineStr">
        <is>
          <t>Caruaru/PE</t>
        </is>
      </c>
      <c r="C4" s="10" t="inlineStr">
        <is>
          <t>Caruaru Shopping</t>
        </is>
      </c>
      <c r="D4" s="10" t="inlineStr">
        <is>
          <t>10–12/mar/2026</t>
        </is>
      </c>
      <c r="E4" s="10" t="inlineStr">
        <is>
          <t>Utilidades, presentes, brinquedos, bazar</t>
        </is>
      </c>
      <c r="F4" s="10" t="inlineStr">
        <is>
          <t>Sim (logos no site)</t>
        </is>
      </c>
      <c r="G4" s="10" t="inlineStr">
        <is>
          <t>https://showutil.com.br/pernambuco/</t>
        </is>
      </c>
    </row>
    <row r="5">
      <c r="A5" s="10" t="inlineStr">
        <is>
          <t>Showutil (1º sem.)</t>
        </is>
      </c>
      <c r="B5" s="10" t="inlineStr">
        <is>
          <t>São Luís/MA</t>
        </is>
      </c>
      <c r="C5" s="10" t="inlineStr">
        <is>
          <t>Sebrae Multicenter</t>
        </is>
      </c>
      <c r="D5" s="10" t="inlineStr">
        <is>
          <t>17–19/mar/2026</t>
        </is>
      </c>
      <c r="E5" s="10" t="inlineStr">
        <is>
          <t>Utilidades, presentes, brinquedos, bazar</t>
        </is>
      </c>
      <c r="F5" s="10" t="inlineStr">
        <is>
          <t>Sim (logos no site)</t>
        </is>
      </c>
      <c r="G5" s="10" t="inlineStr">
        <is>
          <t>https://showutil.com.br/maranhao/</t>
        </is>
      </c>
    </row>
    <row r="6">
      <c r="A6" s="10" t="inlineStr">
        <is>
          <t>Showutil (1º sem.)</t>
        </is>
      </c>
      <c r="B6" s="10" t="inlineStr">
        <is>
          <t>Feira de Santana/BA</t>
        </is>
      </c>
      <c r="C6" s="10" t="inlineStr">
        <is>
          <t>Olimpo Eventos</t>
        </is>
      </c>
      <c r="D6" s="10" t="inlineStr">
        <is>
          <t>25–27/mar/2026</t>
        </is>
      </c>
      <c r="E6" s="10" t="inlineStr">
        <is>
          <t>Utilidades, presentes, brinquedos, bazar</t>
        </is>
      </c>
      <c r="F6" s="10" t="inlineStr">
        <is>
          <t>Sim (logos no site)</t>
        </is>
      </c>
      <c r="G6" s="10" t="inlineStr">
        <is>
          <t>https://showutil.com.br/bahia/</t>
        </is>
      </c>
    </row>
    <row r="7">
      <c r="A7" s="10" t="inlineStr">
        <is>
          <t>Showbrinq</t>
        </is>
      </c>
      <c r="B7" s="10" t="inlineStr">
        <is>
          <t>São Luís/MA</t>
        </is>
      </c>
      <c r="C7" s="10" t="inlineStr">
        <is>
          <t>Multicenter</t>
        </is>
      </c>
      <c r="D7" s="10" t="inlineStr">
        <is>
          <t>1–3/jul/2026</t>
        </is>
      </c>
      <c r="E7" s="10" t="inlineStr">
        <is>
          <t>Brinquedos</t>
        </is>
      </c>
      <c r="F7" s="10" t="inlineStr">
        <is>
          <t>Não</t>
        </is>
      </c>
      <c r="G7" s="10" t="inlineStr">
        <is>
          <t>https://www.showbrinq.com.br/maranhao/</t>
        </is>
      </c>
    </row>
    <row r="8">
      <c r="A8" s="10" t="inlineStr">
        <is>
          <t>Showbrinq</t>
        </is>
      </c>
      <c r="B8" s="10" t="inlineStr">
        <is>
          <t>Fortaleza/CE</t>
        </is>
      </c>
      <c r="C8" s="10" t="inlineStr">
        <is>
          <t>Centro de Eventos do Ceará</t>
        </is>
      </c>
      <c r="D8" s="10" t="inlineStr">
        <is>
          <t>7–9/jul/2026</t>
        </is>
      </c>
      <c r="E8" s="10" t="inlineStr">
        <is>
          <t>Brinquedos</t>
        </is>
      </c>
      <c r="F8" s="10" t="inlineStr">
        <is>
          <t>Não</t>
        </is>
      </c>
      <c r="G8" s="10" t="inlineStr">
        <is>
          <t>https://centrodeeventos.ce.gov.br/evento/showbrinq-2026/</t>
        </is>
      </c>
    </row>
    <row r="9">
      <c r="A9" s="10" t="inlineStr">
        <is>
          <t>Showbrinq</t>
        </is>
      </c>
      <c r="B9" s="10" t="inlineStr">
        <is>
          <t>Caruaru/PE</t>
        </is>
      </c>
      <c r="C9" s="10" t="inlineStr">
        <is>
          <t>Expocenter Caruaru</t>
        </is>
      </c>
      <c r="D9" s="10" t="inlineStr">
        <is>
          <t>14–16/jul/2026</t>
        </is>
      </c>
      <c r="E9" s="10" t="inlineStr">
        <is>
          <t>Brinquedos</t>
        </is>
      </c>
      <c r="F9" s="10" t="inlineStr">
        <is>
          <t>Não</t>
        </is>
      </c>
      <c r="G9" s="10" t="inlineStr">
        <is>
          <t>https://www.facebook.com/xalingo/posts/1451356533699331/</t>
        </is>
      </c>
    </row>
    <row r="10">
      <c r="A10" s="10" t="inlineStr">
        <is>
          <t>Showbrinq</t>
        </is>
      </c>
      <c r="B10" s="10" t="inlineStr">
        <is>
          <t>Feira de Santana/BA</t>
        </is>
      </c>
      <c r="C10" s="10" t="inlineStr">
        <is>
          <t>—</t>
        </is>
      </c>
      <c r="D10" s="10" t="inlineStr">
        <is>
          <t>21–23/jul/2026</t>
        </is>
      </c>
      <c r="E10" s="10" t="inlineStr">
        <is>
          <t>Brinquedos</t>
        </is>
      </c>
      <c r="F10" s="10" t="inlineStr">
        <is>
          <t>Não</t>
        </is>
      </c>
      <c r="G10" s="10" t="inlineStr">
        <is>
          <t>https://www.instagram.com/p/Da5QC15Enwc/</t>
        </is>
      </c>
    </row>
    <row r="11">
      <c r="A11" s="10" t="inlineStr">
        <is>
          <t>SuperBahia</t>
        </is>
      </c>
      <c r="B11" s="10" t="inlineStr">
        <is>
          <t>Salvador/BA</t>
        </is>
      </c>
      <c r="C11" s="10" t="inlineStr">
        <is>
          <t>Centro de Convenções</t>
        </is>
      </c>
      <c r="D11" s="10" t="inlineStr">
        <is>
          <t>28–30/jul/2026</t>
        </is>
      </c>
      <c r="E11" s="10" t="inlineStr">
        <is>
          <t>Varejo alimentar / supermercados</t>
        </is>
      </c>
      <c r="F11" s="10" t="inlineStr">
        <is>
          <t>Não</t>
        </is>
      </c>
      <c r="G11" s="10" t="inlineStr">
        <is>
          <t>https://g1.globo.com/ba/bahia/noticia/2026/07/28/superbahia-em-salvador.ghtml</t>
        </is>
      </c>
    </row>
    <row r="12">
      <c r="A12" s="10" t="inlineStr">
        <is>
          <t>Showutil (2º sem.)</t>
        </is>
      </c>
      <c r="B12" s="10" t="inlineStr">
        <is>
          <t>Caruaru/PE</t>
        </is>
      </c>
      <c r="C12" s="10" t="inlineStr">
        <is>
          <t>WA Convention – Caruaru Shopping</t>
        </is>
      </c>
      <c r="D12" s="10" t="inlineStr">
        <is>
          <t>20–22/out/2026</t>
        </is>
      </c>
      <c r="E12" s="10" t="inlineStr">
        <is>
          <t>Utilidades, presentes, brinquedos, bazar</t>
        </is>
      </c>
      <c r="F12" s="10" t="inlineStr">
        <is>
          <t>Sim (logos no site)</t>
        </is>
      </c>
      <c r="G12" s="10" t="inlineStr">
        <is>
          <t>https://showutil.com.br/pernambuco2/</t>
        </is>
      </c>
    </row>
    <row r="13">
      <c r="A13" s="10" t="inlineStr">
        <is>
          <t>Showutil (2º sem.)</t>
        </is>
      </c>
      <c r="B13" s="10" t="inlineStr">
        <is>
          <t>Feira de Santana/BA</t>
        </is>
      </c>
      <c r="C13" s="10" t="inlineStr">
        <is>
          <t>Spazio Eventos</t>
        </is>
      </c>
      <c r="D13" s="10" t="inlineStr">
        <is>
          <t>27–29/out/2026</t>
        </is>
      </c>
      <c r="E13" s="10" t="inlineStr">
        <is>
          <t>Utilidades, presentes, brinquedos, bazar</t>
        </is>
      </c>
      <c r="F13" s="10" t="inlineStr">
        <is>
          <t>Sim (logos no site)</t>
        </is>
      </c>
      <c r="G13" s="10" t="inlineStr">
        <is>
          <t>https://showutil.com.br/bahia2</t>
        </is>
      </c>
    </row>
    <row r="14">
      <c r="A14" s="10" t="inlineStr">
        <is>
          <t>Showbrinq</t>
        </is>
      </c>
      <c r="B14" s="10" t="inlineStr">
        <is>
          <t>São Luís/MA</t>
        </is>
      </c>
      <c r="C14" s="10" t="inlineStr">
        <is>
          <t>Multicenter</t>
        </is>
      </c>
      <c r="D14" s="10" t="inlineStr">
        <is>
          <t>29/jun–1/jul/2027</t>
        </is>
      </c>
      <c r="E14" s="10" t="inlineStr">
        <is>
          <t>Brinquedos</t>
        </is>
      </c>
      <c r="F14" s="10" t="inlineStr">
        <is>
          <t>Não</t>
        </is>
      </c>
      <c r="G14" s="10" t="inlineStr">
        <is>
          <t>https://www.showbrinq.com.br/</t>
        </is>
      </c>
    </row>
    <row r="15">
      <c r="A15" s="10" t="inlineStr">
        <is>
          <t>Showbrinq</t>
        </is>
      </c>
      <c r="B15" s="10" t="inlineStr">
        <is>
          <t>Fortaleza/CE</t>
        </is>
      </c>
      <c r="C15" s="10" t="inlineStr">
        <is>
          <t>Centro de Eventos do Ceará</t>
        </is>
      </c>
      <c r="D15" s="10" t="inlineStr">
        <is>
          <t>6–8/jul/2027</t>
        </is>
      </c>
      <c r="E15" s="10" t="inlineStr">
        <is>
          <t>Brinquedos</t>
        </is>
      </c>
      <c r="F15" s="10" t="inlineStr">
        <is>
          <t>Não</t>
        </is>
      </c>
      <c r="G15" s="10" t="inlineStr">
        <is>
          <t>https://www.showbrinq.com.br/</t>
        </is>
      </c>
    </row>
    <row r="16">
      <c r="A16" s="10" t="inlineStr">
        <is>
          <t>Showbrinq</t>
        </is>
      </c>
      <c r="B16" s="10" t="inlineStr">
        <is>
          <t>Caruaru/PE</t>
        </is>
      </c>
      <c r="C16" s="10" t="inlineStr">
        <is>
          <t>—</t>
        </is>
      </c>
      <c r="D16" s="10" t="inlineStr">
        <is>
          <t>13–15/jul/2027</t>
        </is>
      </c>
      <c r="E16" s="10" t="inlineStr">
        <is>
          <t>Brinquedos</t>
        </is>
      </c>
      <c r="F16" s="10" t="inlineStr">
        <is>
          <t>Não</t>
        </is>
      </c>
      <c r="G16" s="10" t="inlineStr">
        <is>
          <t>https://www.showbrinq.com.br/</t>
        </is>
      </c>
    </row>
    <row r="17">
      <c r="A17" s="10" t="inlineStr">
        <is>
          <t>Showbrinq</t>
        </is>
      </c>
      <c r="B17" s="10" t="inlineStr">
        <is>
          <t>Feira de Santana/BA</t>
        </is>
      </c>
      <c r="C17" s="10" t="inlineStr">
        <is>
          <t>—</t>
        </is>
      </c>
      <c r="D17" s="10" t="inlineStr">
        <is>
          <t>20–22/jul/2027</t>
        </is>
      </c>
      <c r="E17" s="10" t="inlineStr">
        <is>
          <t>Brinquedos</t>
        </is>
      </c>
      <c r="F17" s="10" t="inlineStr">
        <is>
          <t>Não</t>
        </is>
      </c>
      <c r="G17" s="10" t="inlineStr">
        <is>
          <t>https://www.showbrinq.com.br/</t>
        </is>
      </c>
    </row>
    <row r="18">
      <c r="A18" s="10" t="inlineStr">
        <is>
          <t>SuperAPES (1ª edição)</t>
        </is>
      </c>
      <c r="B18" s="10" t="inlineStr">
        <is>
          <t>Recife/PE</t>
        </is>
      </c>
      <c r="C18" s="10" t="inlineStr">
        <is>
          <t>Recife Expo Center</t>
        </is>
      </c>
      <c r="D18" s="10" t="inlineStr">
        <is>
          <t>20–22/jul/2027</t>
        </is>
      </c>
      <c r="E18" s="10" t="inlineStr">
        <is>
          <t>Supermercados</t>
        </is>
      </c>
      <c r="F18" s="10" t="inlineStr">
        <is>
          <t>Não</t>
        </is>
      </c>
      <c r="G18" s="10" t="inlineStr">
        <is>
          <t>https://www.apes.com.br/post/informapes-setembro-de-2026</t>
        </is>
      </c>
    </row>
    <row r="19">
      <c r="A19" s="16" t="inlineStr">
        <is>
          <t>Expo MultiMix Manaus (referência)</t>
        </is>
      </c>
      <c r="B19" s="16" t="inlineStr">
        <is>
          <t>Manaus/AM</t>
        </is>
      </c>
      <c r="C19" s="16" t="inlineStr">
        <is>
          <t>Vasco Vasques</t>
        </is>
      </c>
      <c r="D19" s="16" t="inlineStr">
        <is>
          <t>1–3/jun/2027</t>
        </is>
      </c>
      <c r="E19" s="16" t="inlineStr">
        <is>
          <t>Multissetorial</t>
        </is>
      </c>
      <c r="F19" s="16" t="inlineStr">
        <is>
          <t>—</t>
        </is>
      </c>
      <c r="G19" s="16" t="inlineStr">
        <is>
          <t>https://www.expomultimix.com.br/manaus</t>
        </is>
      </c>
    </row>
    <row r="20">
      <c r="A20" s="16" t="inlineStr">
        <is>
          <t>Expo MultiMix Belém (referência)</t>
        </is>
      </c>
      <c r="B20" s="16" t="inlineStr">
        <is>
          <t>Belém/PA</t>
        </is>
      </c>
      <c r="C20" s="16" t="inlineStr">
        <is>
          <t>Estação das Docas</t>
        </is>
      </c>
      <c r="D20" s="16" t="inlineStr">
        <is>
          <t>15–17/jun/2027</t>
        </is>
      </c>
      <c r="E20" s="16" t="inlineStr">
        <is>
          <t>Multissetorial</t>
        </is>
      </c>
      <c r="F20" s="16" t="inlineStr">
        <is>
          <t>—</t>
        </is>
      </c>
      <c r="G20" s="16" t="inlineStr">
        <is>
          <t>https://www.expomultimix.com.br/belem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2026-09-22T21:36:52Z</dcterms:created>
  <dcterms:modified xsi:type="dcterms:W3CDTF">2026-09-22T21:36:52Z</dcterms:modified>
</cp:coreProperties>
</file>